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sters" sheetId="1" state="visible" r:id="rId3"/>
    <sheet name="Classes" sheetId="2" state="visible" r:id="rId4"/>
    <sheet name="Dungeon Plans" sheetId="3" state="visible" r:id="rId5"/>
    <sheet name="Build Order" sheetId="4" state="visible" r:id="rId6"/>
    <sheet name="Base Moves" sheetId="5" state="visible" r:id="rId7"/>
    <sheet name="Boss Specials" sheetId="6" state="visible" r:id="rId8"/>
    <sheet name="Damage Table" sheetId="7" state="visible" r:id="rId9"/>
    <sheet name="Balance Log" sheetId="8" state="visible" r:id="rId10"/>
  </sheets>
  <definedNames>
    <definedName function="false" hidden="true" localSheetId="7" name="_xlnm._FilterDatabase" vbProcedure="false">'Balance Log'!$A$4:$G$30</definedName>
    <definedName function="false" hidden="true" localSheetId="3" name="_xlnm._FilterDatabase" vbProcedure="false">'Build Order'!$A$4:$H$20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<sst xmlns="http://schemas.openxmlformats.org/spreadsheetml/2006/main" count="821" uniqueCount="468">
  <si>
    <t xml:space="preserve">Severance - Monster Stats</t>
  </si>
  <si>
    <t xml:space="preserve">Blue = numbers taken from enemies.py. Black = calculated by formula. Pink rows = bosses.</t>
  </si>
  <si>
    <t xml:space="preserve">Name</t>
  </si>
  <si>
    <t xml:space="preserve">Dungeon</t>
  </si>
  <si>
    <t xml:space="preserve">Rooms</t>
  </si>
  <si>
    <t xml:space="preserve">Role</t>
  </si>
  <si>
    <t xml:space="preserve">HP</t>
  </si>
  <si>
    <t xml:space="preserve">Attack</t>
  </si>
  <si>
    <t xml:space="preserve">Defence</t>
  </si>
  <si>
    <t xml:space="preserve">XP Reward</t>
  </si>
  <si>
    <t xml:space="preserve">Damage Blocked by Defence</t>
  </si>
  <si>
    <t xml:space="preserve">Effective HP</t>
  </si>
  <si>
    <t xml:space="preserve">Enrage At (HP %)</t>
  </si>
  <si>
    <t xml:space="preserve">Enrage Multiplier</t>
  </si>
  <si>
    <t xml:space="preserve">Enraged Attack</t>
  </si>
  <si>
    <t xml:space="preserve">Special Moves</t>
  </si>
  <si>
    <t xml:space="preserve">Status</t>
  </si>
  <si>
    <t xml:space="preserve">Mutated Tadpole</t>
  </si>
  <si>
    <t xml:space="preserve">Rainforest River</t>
  </si>
  <si>
    <t xml:space="preserve">1</t>
  </si>
  <si>
    <t xml:space="preserve">Add</t>
  </si>
  <si>
    <t xml:space="preserve">-</t>
  </si>
  <si>
    <t xml:space="preserve">In game</t>
  </si>
  <si>
    <t xml:space="preserve">Mutated Frog</t>
  </si>
  <si>
    <t xml:space="preserve">2, 3</t>
  </si>
  <si>
    <t xml:space="preserve">Mutated Boar</t>
  </si>
  <si>
    <t xml:space="preserve">3</t>
  </si>
  <si>
    <t xml:space="preserve">Mutated Cheetah</t>
  </si>
  <si>
    <t xml:space="preserve">4 (boss)</t>
  </si>
  <si>
    <t xml:space="preserve">Boss</t>
  </si>
  <si>
    <t xml:space="preserve">Pounce</t>
  </si>
  <si>
    <t xml:space="preserve">Security Drone</t>
  </si>
  <si>
    <t xml:space="preserve">Derelict Spaceship</t>
  </si>
  <si>
    <t xml:space="preserve">1, 2</t>
  </si>
  <si>
    <t xml:space="preserve">Maintenance Bot</t>
  </si>
  <si>
    <t xml:space="preserve">2</t>
  </si>
  <si>
    <t xml:space="preserve">Sentry Turret</t>
  </si>
  <si>
    <t xml:space="preserve">Rogue Overseer</t>
  </si>
  <si>
    <t xml:space="preserve">Laser Sweep, Twin Blasters</t>
  </si>
  <si>
    <t xml:space="preserve">Rift Wisp</t>
  </si>
  <si>
    <t xml:space="preserve">Heart of the Rift</t>
  </si>
  <si>
    <t xml:space="preserve">Unused (dungeon removed)</t>
  </si>
  <si>
    <t xml:space="preserve">Rift Knight</t>
  </si>
  <si>
    <t xml:space="preserve">Rift Stalker</t>
  </si>
  <si>
    <t xml:space="preserve">Rift Warden</t>
  </si>
  <si>
    <t xml:space="preserve">Crushing Slam</t>
  </si>
  <si>
    <t xml:space="preserve">Hollow Colossus</t>
  </si>
  <si>
    <t xml:space="preserve">Cataclysm, Rending Claws, Tremor</t>
  </si>
  <si>
    <t xml:space="preserve">Notes</t>
  </si>
  <si>
    <t xml:space="preserve">Damage Blocked = 1 - 100/(100 + Defence). Same formula as take_damage() in character.py.</t>
  </si>
  <si>
    <t xml:space="preserve">Effective HP = HP x (100 + Defence)/100, i.e. how much raw damage it takes to kill it.</t>
  </si>
  <si>
    <t xml:space="preserve">Enrage: when a boss drops to 'Enrage At' of its max HP, its attack is multiplied by 'Enrage Multiplier' (once).</t>
  </si>
  <si>
    <t xml:space="preserve">Bosses use the default enrage_at of 25% from enemy.py unless enemies.py sets it (Hollow Colossus = 30%).</t>
  </si>
  <si>
    <t xml:space="preserve">Severance - Player Classes</t>
  </si>
  <si>
    <t xml:space="preserve">Blue = numbers from classes.py / player.py. Black = calculated. Change a blue number and everything below updates.</t>
  </si>
  <si>
    <t xml:space="preserve">Class Stats</t>
  </si>
  <si>
    <t xml:space="preserve">Class</t>
  </si>
  <si>
    <t xml:space="preserve">Pillar</t>
  </si>
  <si>
    <t xml:space="preserve">Base HP</t>
  </si>
  <si>
    <t xml:space="preserve">Base Attack</t>
  </si>
  <si>
    <t xml:space="preserve">Base Defence</t>
  </si>
  <si>
    <t xml:space="preserve">HP per Level</t>
  </si>
  <si>
    <t xml:space="preserve">Attack per Level</t>
  </si>
  <si>
    <t xml:space="preserve">Defence per Level</t>
  </si>
  <si>
    <t xml:space="preserve">Defend Strength (damage ÷)</t>
  </si>
  <si>
    <t xml:space="preserve">Defend Blocks %</t>
  </si>
  <si>
    <t xml:space="preserve">Max Mana</t>
  </si>
  <si>
    <t xml:space="preserve">Mana Regen</t>
  </si>
  <si>
    <t xml:space="preserve">Max Level</t>
  </si>
  <si>
    <t xml:space="preserve">Paladin</t>
  </si>
  <si>
    <t xml:space="preserve">Religion</t>
  </si>
  <si>
    <t xml:space="preserve">Sorcerer</t>
  </si>
  <si>
    <t xml:space="preserve">Science? (TBD)</t>
  </si>
  <si>
    <t xml:space="preserve">Planned (mana class)</t>
  </si>
  <si>
    <t xml:space="preserve">Paladin Abilities</t>
  </si>
  <si>
    <t xml:space="preserve">Ability</t>
  </si>
  <si>
    <t xml:space="preserve">Key</t>
  </si>
  <si>
    <t xml:space="preserve">Type</t>
  </si>
  <si>
    <t xml:space="preserve">Unlock Level</t>
  </si>
  <si>
    <t xml:space="preserve">Power</t>
  </si>
  <si>
    <t xml:space="preserve">Cooldown (turns)</t>
  </si>
  <si>
    <t xml:space="preserve">Target</t>
  </si>
  <si>
    <t xml:space="preserve">Mana Cost</t>
  </si>
  <si>
    <t xml:space="preserve">Lifesteal %</t>
  </si>
  <si>
    <t xml:space="preserve">Attack at Unlock</t>
  </si>
  <si>
    <t xml:space="preserve">Raw Effect at Unlock</t>
  </si>
  <si>
    <t xml:space="preserve">Raw Effect at Lv 20</t>
  </si>
  <si>
    <t xml:space="preserve">What It Does</t>
  </si>
  <si>
    <t xml:space="preserve">Shield Bash</t>
  </si>
  <si>
    <t xml:space="preserve">S</t>
  </si>
  <si>
    <t xml:space="preserve">Damage</t>
  </si>
  <si>
    <t xml:space="preserve">One enemy</t>
  </si>
  <si>
    <t xml:space="preserve">Hits one enemy for 1.3x attack</t>
  </si>
  <si>
    <t xml:space="preserve">Holy Strike</t>
  </si>
  <si>
    <t xml:space="preserve">H</t>
  </si>
  <si>
    <t xml:space="preserve">Big single hit, 2x attack</t>
  </si>
  <si>
    <t xml:space="preserve">Holy Ground</t>
  </si>
  <si>
    <t xml:space="preserve">G</t>
  </si>
  <si>
    <t xml:space="preserve">Damage (AOE)</t>
  </si>
  <si>
    <t xml:space="preserve">All enemies</t>
  </si>
  <si>
    <t xml:space="preserve">Hits every enemy for 1.3x attack</t>
  </si>
  <si>
    <t xml:space="preserve">Lay on Hands</t>
  </si>
  <si>
    <t xml:space="preserve">L</t>
  </si>
  <si>
    <t xml:space="preserve">Heal</t>
  </si>
  <si>
    <t xml:space="preserve">Self</t>
  </si>
  <si>
    <t xml:space="preserve">Heals 25% of max HP</t>
  </si>
  <si>
    <t xml:space="preserve">Divine Aegis</t>
  </si>
  <si>
    <t xml:space="preserve">E</t>
  </si>
  <si>
    <t xml:space="preserve">Block</t>
  </si>
  <si>
    <t xml:space="preserve">All</t>
  </si>
  <si>
    <t xml:space="preserve">Blocks ALL damage for the rest of the turn</t>
  </si>
  <si>
    <t xml:space="preserve">Radiant Slash</t>
  </si>
  <si>
    <t xml:space="preserve">R</t>
  </si>
  <si>
    <t xml:space="preserve">Lifesteal</t>
  </si>
  <si>
    <t xml:space="preserve">1.6x hit, heals you for half the damage dealt</t>
  </si>
  <si>
    <t xml:space="preserve">Judgement</t>
  </si>
  <si>
    <t xml:space="preserve">J</t>
  </si>
  <si>
    <t xml:space="preserve">Ultimate: 4x attack</t>
  </si>
  <si>
    <t xml:space="preserve">Raw Effect = damage before the enemy's defence and the ±20% random roll (see the Damage Table tab for after-defence numbers).</t>
  </si>
  <si>
    <t xml:space="preserve">Heals use max HP at that level. Lifesteal heals 50% of the damage that actually lands.</t>
  </si>
  <si>
    <t xml:space="preserve">Paladin Stats by Level</t>
  </si>
  <si>
    <t xml:space="preserve">Level</t>
  </si>
  <si>
    <t xml:space="preserve">Max HP</t>
  </si>
  <si>
    <t xml:space="preserve">XP to Next Level</t>
  </si>
  <si>
    <t xml:space="preserve">Total XP to Reach</t>
  </si>
  <si>
    <t xml:space="preserve">New Ability</t>
  </si>
  <si>
    <t xml:space="preserve">Starts with Shield Bash, Holy Strike</t>
  </si>
  <si>
    <t xml:space="preserve">XP to Next Level = 50 x level (from xp_needed() in player.py). Levelling up fully heals you.</t>
  </si>
  <si>
    <t xml:space="preserve">Severance - Dungeon Plans</t>
  </si>
  <si>
    <t xml:space="preserve">Build steps are on the Build Order tab. Plans from the GameNotes vault (Dungeons &amp; Enemies.md) next to what's actually built in the text prototype. Green = done, yellow = partly done / idea, red = not started.</t>
  </si>
  <si>
    <t xml:space="preserve">Overview</t>
  </si>
  <si>
    <t xml:space="preserve">#</t>
  </si>
  <si>
    <t xml:space="preserve">Layout</t>
  </si>
  <si>
    <t xml:space="preserve">Theme / Enemies</t>
  </si>
  <si>
    <t xml:space="preserve">Target Time</t>
  </si>
  <si>
    <t xml:space="preserve">Target Level</t>
  </si>
  <si>
    <t xml:space="preserve">Difficulty</t>
  </si>
  <si>
    <t xml:space="preserve">Bosses</t>
  </si>
  <si>
    <t xml:space="preserve">Special Features</t>
  </si>
  <si>
    <t xml:space="preserve">Loot</t>
  </si>
  <si>
    <t xml:space="preserve">Built So Far</t>
  </si>
  <si>
    <t xml:space="preserve">Still To Do</t>
  </si>
  <si>
    <t xml:space="preserve">Straight path</t>
  </si>
  <si>
    <t xml:space="preserve">Along a river. Slightly mutated normal animals (Tadpole, Frog, Boar)</t>
  </si>
  <si>
    <t xml:space="preserve">5-10 mins</t>
  </si>
  <si>
    <t xml:space="preserve">Lv 1</t>
  </si>
  <si>
    <t xml:space="preserve">Easy. Teaches the basics of dungeons and your class</t>
  </si>
  <si>
    <t xml:space="preserve">Tutorial: teaches the basics</t>
  </si>
  <si>
    <t xml:space="preserve">XP only</t>
  </si>
  <si>
    <t xml:space="preserve">Partly done</t>
  </si>
  <si>
    <t xml:space="preserve">4 rooms + boss. Smart player ~87% win, casual ~65%</t>
  </si>
  <si>
    <t xml:space="preserve">Tutorial tips per room. Check run length (probably ~3-5 mins now)</t>
  </si>
  <si>
    <t xml:space="preserve">Branching paths</t>
  </si>
  <si>
    <t xml:space="preserve">Spaceship. Robots and drones (Drone, Maintenance Bot, Turret)</t>
  </si>
  <si>
    <t xml:space="preserve">~10 mins</t>
  </si>
  <si>
    <t xml:space="preserve">Lv 2-4</t>
  </si>
  <si>
    <t xml:space="preserve">Medium</t>
  </si>
  <si>
    <t xml:space="preserve">3 final bosses, one per path: Tank, DPS, Summoner</t>
  </si>
  <si>
    <t xml:space="preserve">Player picks a path. Each boss matches a class type</t>
  </si>
  <si>
    <t xml:space="preserve">Bonus loot for the class that matches the boss</t>
  </si>
  <si>
    <t xml:space="preserve">Straight path, 4 rooms, 1 boss (Rogue Overseer = fits DPS?). Smart 92% / casual 62% at Lv 2</t>
  </si>
  <si>
    <t xml:space="preserve">Path choice, 2 more bosses, Summoner boss mechanic, loot system</t>
  </si>
  <si>
    <t xml:space="preserve">Cave</t>
  </si>
  <si>
    <t xml:space="preserve">Floors</t>
  </si>
  <si>
    <t xml:space="preserve">TBD - deeper floors, harder enemies</t>
  </si>
  <si>
    <t xml:space="preserve">20-25 mins</t>
  </si>
  <si>
    <t xml:space="preserve">TBD (big power spike)</t>
  </si>
  <si>
    <t xml:space="preserve">Hard</t>
  </si>
  <si>
    <t xml:space="preserve">Main boss at the bottom + a 'recon clone' at the end of each floor</t>
  </si>
  <si>
    <t xml:space="preserve">Clones are copies of the main boss sent to scout: they fight back but do little damage</t>
  </si>
  <si>
    <t xml:space="preserve">TBD</t>
  </si>
  <si>
    <t xml:space="preserve">Not started</t>
  </si>
  <si>
    <t xml:space="preserve">Floors in dungeon(), cave enemies, clone recipes, main boss, sims</t>
  </si>
  <si>
    <t xml:space="preserve">Outpost (between dungeons)</t>
  </si>
  <si>
    <t xml:space="preserve">Hub</t>
  </si>
  <si>
    <t xml:space="preserve">Dungeon outpost / fortified camp from the lore. Wandering traders, NPCs</t>
  </si>
  <si>
    <t xml:space="preserve">Safe zone</t>
  </si>
  <si>
    <t xml:space="preserve">Shops + talking to NPCs between dungeons</t>
  </si>
  <si>
    <t xml:space="preserve">Buy items (e.g. potions) with gold</t>
  </si>
  <si>
    <t xml:space="preserve">Gold drops, shop menu, NPC dialogue, items/inventory</t>
  </si>
  <si>
    <t xml:space="preserve">Room by Room</t>
  </si>
  <si>
    <t xml:space="preserve">Section</t>
  </si>
  <si>
    <t xml:space="preserve">Room</t>
  </si>
  <si>
    <t xml:space="preserve">Enemies</t>
  </si>
  <si>
    <t xml:space="preserve">XP</t>
  </si>
  <si>
    <t xml:space="preserve">Tip / Notes</t>
  </si>
  <si>
    <t xml:space="preserve">Path</t>
  </si>
  <si>
    <t xml:space="preserve">Tadpole x2</t>
  </si>
  <si>
    <t xml:space="preserve">10</t>
  </si>
  <si>
    <t xml:space="preserve">Tip idea: how to attack / use abilities</t>
  </si>
  <si>
    <t xml:space="preserve">Built</t>
  </si>
  <si>
    <t xml:space="preserve">Frog x2</t>
  </si>
  <si>
    <t xml:space="preserve">16</t>
  </si>
  <si>
    <t xml:space="preserve">Tip idea: cooldowns</t>
  </si>
  <si>
    <t xml:space="preserve">Boar + Frog</t>
  </si>
  <si>
    <t xml:space="preserve">20</t>
  </si>
  <si>
    <t xml:space="preserve">Tip idea: kill the Boar first (hits hard, low defence)</t>
  </si>
  <si>
    <t xml:space="preserve">4</t>
  </si>
  <si>
    <t xml:space="preserve">30</t>
  </si>
  <si>
    <t xml:space="preserve">Tip idea: bosses warn you, press D to defend. XP before boss must stay under 50 (now 46)</t>
  </si>
  <si>
    <t xml:space="preserve">Shared start</t>
  </si>
  <si>
    <t xml:space="preserve">Security Drone x3</t>
  </si>
  <si>
    <t xml:space="preserve">18</t>
  </si>
  <si>
    <t xml:space="preserve">Maintenance Bot + Drone x2</t>
  </si>
  <si>
    <t xml:space="preserve">28</t>
  </si>
  <si>
    <t xml:space="preserve">Sentry Turret x2</t>
  </si>
  <si>
    <t xml:space="preserve">Could become the split point</t>
  </si>
  <si>
    <t xml:space="preserve">Path A - Tank</t>
  </si>
  <si>
    <t xml:space="preserve">Tank boss (TBD)</t>
  </si>
  <si>
    <t xml:space="preserve">High HP / defence. Bonus loot for Tanks (e.g. Paladin)</t>
  </si>
  <si>
    <t xml:space="preserve">Planned</t>
  </si>
  <si>
    <t xml:space="preserve">Path B - DPS</t>
  </si>
  <si>
    <t xml:space="preserve">Rogue Overseer?</t>
  </si>
  <si>
    <t xml:space="preserve">45</t>
  </si>
  <si>
    <t xml:space="preserve">Current boss could be the DPS one. Bonus loot for DPS (e.g. Sorcerer)</t>
  </si>
  <si>
    <t xml:space="preserve">Idea</t>
  </si>
  <si>
    <t xml:space="preserve">Path C - Summoner</t>
  </si>
  <si>
    <t xml:space="preserve">Summoner boss (TBD)</t>
  </si>
  <si>
    <t xml:space="preserve">Calls in adds mid-fight (new mechanic). Bonus loot for Summoners (e.g. Chimera)</t>
  </si>
  <si>
    <t xml:space="preserve">Floor 1</t>
  </si>
  <si>
    <t xml:space="preserve">End</t>
  </si>
  <si>
    <t xml:space="preserve">Recon Clone 1</t>
  </si>
  <si>
    <t xml:space="preserve">Weak copy of the main boss</t>
  </si>
  <si>
    <t xml:space="preserve">Floor 2</t>
  </si>
  <si>
    <t xml:space="preserve">Harder than floor 1</t>
  </si>
  <si>
    <t xml:space="preserve">Recon Clone 2</t>
  </si>
  <si>
    <t xml:space="preserve">Floor 3</t>
  </si>
  <si>
    <t xml:space="preserve">Number of floors TBD</t>
  </si>
  <si>
    <t xml:space="preserve">Bottom</t>
  </si>
  <si>
    <t xml:space="preserve">Main boss (TBD)</t>
  </si>
  <si>
    <t xml:space="preserve">The real one</t>
  </si>
  <si>
    <t xml:space="preserve">Design Rules (from your notes)</t>
  </si>
  <si>
    <t xml:space="preserve">•  No 2 dungeons should be exactly the same (similar is fine).</t>
  </si>
  <si>
    <t xml:space="preserve">•  Every dungeon ends with a boss fight, sometimes with a lore reveal.</t>
  </si>
  <si>
    <t xml:space="preserve">•  Every boss gives gear + XP. Gear: pillar set (higher drop rate) and subclass set (lower drop rate), starting in Dungeon 2.</t>
  </si>
  <si>
    <t xml:space="preserve">•  XP: normal enemies give a little XP, bosses give a big XP drop. (Prototype is the other way round right now: Rainforest adds give 46, boss gives 30.)</t>
  </si>
  <si>
    <t xml:space="preserve">•  Between dungeons: an outpost hub with shops and NPCs to talk to.</t>
  </si>
  <si>
    <t xml:space="preserve">•  Dungeons get longer and harder as the god gets angrier (early 5-10 mins, later 30+).</t>
  </si>
  <si>
    <t xml:space="preserve">•  Prototype max level is 20 (the full game plan is 1-50).</t>
  </si>
  <si>
    <t xml:space="preserve">•  Balance rule: a dungeon built for level L should give about 1.2 x 50 x L XP for a full clear.</t>
  </si>
  <si>
    <t xml:space="preserve">XP Plan (suggested - not in the code yet)</t>
  </si>
  <si>
    <t xml:space="preserve">Enemy</t>
  </si>
  <si>
    <t xml:space="preserve">XP Now</t>
  </si>
  <si>
    <t xml:space="preserve">XP Suggested</t>
  </si>
  <si>
    <t xml:space="preserve">Rainforest</t>
  </si>
  <si>
    <t xml:space="preserve">Mutated Cheetah (boss)</t>
  </si>
  <si>
    <t xml:space="preserve">Spaceship</t>
  </si>
  <si>
    <t xml:space="preserve">Rogue Overseer (boss)</t>
  </si>
  <si>
    <t xml:space="preserve">Rainforest full clear</t>
  </si>
  <si>
    <t xml:space="preserve">Rainforest XP before boss</t>
  </si>
  <si>
    <t xml:space="preserve">Spaceship full clear</t>
  </si>
  <si>
    <t xml:space="preserve">Spaceship XP before boss</t>
  </si>
  <si>
    <t xml:space="preserve">With the new split: beating the Cheetah takes you to Lv 2 straight after the boss (no mid-dungeon level-up heal), and the Spaceship boss drop takes you to Lv 3.</t>
  </si>
  <si>
    <t xml:space="preserve">Severance - Build Order</t>
  </si>
  <si>
    <t xml:space="preserve">Top to bottom = the order to build in. Change Status as you go (Done / In progress / Not started / Undecided). Filter the Area column to see one part.</t>
  </si>
  <si>
    <t xml:space="preserve">Step</t>
  </si>
  <si>
    <t xml:space="preserve">What</t>
  </si>
  <si>
    <t xml:space="preserve">Area</t>
  </si>
  <si>
    <t xml:space="preserve">Who</t>
  </si>
  <si>
    <t xml:space="preserve">Size</t>
  </si>
  <si>
    <t xml:space="preserve">Needs Step</t>
  </si>
  <si>
    <t xml:space="preserve">Mana system (cost, can_afford, regen)</t>
  </si>
  <si>
    <t xml:space="preserve">You</t>
  </si>
  <si>
    <t xml:space="preserve">Small</t>
  </si>
  <si>
    <t xml:space="preserve">Abilities can cost mana, checked in battle</t>
  </si>
  <si>
    <t xml:space="preserve">Done</t>
  </si>
  <si>
    <t xml:space="preserve">Automated tests (pytest)</t>
  </si>
  <si>
    <t xml:space="preserve">8 tests: damage, blocking, healing, level-up stats, ability unlock, cooldowns. Run with: pytest -v</t>
  </si>
  <si>
    <t xml:space="preserve">Mana bar</t>
  </si>
  <si>
    <t xml:space="preserve">show_mana_bar in player.py, show MP cost in the menu</t>
  </si>
  <si>
    <t xml:space="preserve">Sorcerer class + Mana Tide</t>
  </si>
  <si>
    <t xml:space="preserve">Add to class select. Add tests: can't cast without mana, regen caps at max</t>
  </si>
  <si>
    <t xml:space="preserve">Sorcerer balance sims</t>
  </si>
  <si>
    <t xml:space="preserve">Me</t>
  </si>
  <si>
    <t xml:space="preserve">Tune stats + mana costs</t>
  </si>
  <si>
    <t xml:space="preserve">Tutorial tips per room</t>
  </si>
  <si>
    <t xml:space="preserve">tips dict, print in dungeon()</t>
  </si>
  <si>
    <t xml:space="preserve">XP rework: small XP from enemies, big from bosses</t>
  </si>
  <si>
    <t xml:space="preserve">All dungeons</t>
  </si>
  <si>
    <t xml:space="preserve">Numbers only. Suggested split is on Dungeon Plans</t>
  </si>
  <si>
    <t xml:space="preserve">Cheetah Growl (stun)</t>
  </si>
  <si>
    <t xml:space="preserve">You (mechanic) + me (numbers)</t>
  </si>
  <si>
    <t xml:space="preserve">stunned flag, Move effect, skip turn. No damage vs 0.5x hit undecided</t>
  </si>
  <si>
    <t xml:space="preserve">Undecided</t>
  </si>
  <si>
    <t xml:space="preserve">Floors + recon clones</t>
  </si>
  <si>
    <t xml:space="preserve">You (floors) + me (enemies, sims)</t>
  </si>
  <si>
    <t xml:space="preserve">A floor = a group of rooms. Clones = weaker boss recipes</t>
  </si>
  <si>
    <t xml:space="preserve">Path choice</t>
  </si>
  <si>
    <t xml:space="preserve">Player picks a route after the shared rooms</t>
  </si>
  <si>
    <t xml:space="preserve">Summoner boss</t>
  </si>
  <si>
    <t xml:space="preserve">You (mechanic) + me (stats)</t>
  </si>
  <si>
    <t xml:space="preserve">Boss adds enemies to the fight mid-battle</t>
  </si>
  <si>
    <t xml:space="preserve">Loot / gear</t>
  </si>
  <si>
    <t xml:space="preserve">Large</t>
  </si>
  <si>
    <t xml:space="preserve">Pillar set (common) + subclass set (rare) from Dungeon 2 on. Bonus loot per Spaceship path</t>
  </si>
  <si>
    <t xml:space="preserve">Gold + shops</t>
  </si>
  <si>
    <t xml:space="preserve">Outpost</t>
  </si>
  <si>
    <t xml:space="preserve">12</t>
  </si>
  <si>
    <t xml:space="preserve">Enemies/bosses drop gold, spend at a shop between dungeons (e.g. mana potions)</t>
  </si>
  <si>
    <t xml:space="preserve">NPCs</t>
  </si>
  <si>
    <t xml:space="preserve">Small-Medium</t>
  </si>
  <si>
    <t xml:space="preserve">Talk to NPCs between dungeons: lore, hints, quests later</t>
  </si>
  <si>
    <t xml:space="preserve">Save / Load (JSON)</t>
  </si>
  <si>
    <t xml:space="preserve">From the Text Prototype build plan</t>
  </si>
  <si>
    <t xml:space="preserve">Polish: colours + ASCII art</t>
  </si>
  <si>
    <t xml:space="preserve">From the Text Prototype build plan (colorama)</t>
  </si>
  <si>
    <t xml:space="preserve">Moves every enemy can use (Enemy.take_turn in enemy.py)</t>
  </si>
  <si>
    <t xml:space="preserve">Bosses try their special moves first; if none trigger, they roll on this table.</t>
  </si>
  <si>
    <t xml:space="preserve">Move</t>
  </si>
  <si>
    <t xml:space="preserve">Chance %</t>
  </si>
  <si>
    <t xml:space="preserve">Power (x Attack)</t>
  </si>
  <si>
    <t xml:space="preserve">Hits</t>
  </si>
  <si>
    <t xml:space="preserve">Warning?</t>
  </si>
  <si>
    <t xml:space="preserve">What it does</t>
  </si>
  <si>
    <t xml:space="preserve">No</t>
  </si>
  <si>
    <t xml:space="preserve">Normal hit.</t>
  </si>
  <si>
    <t xml:space="preserve">Brace</t>
  </si>
  <si>
    <t xml:space="preserve">Takes 1/1.5 damage until its next turn (defending_power 1.5).</t>
  </si>
  <si>
    <t xml:space="preserve">Heavy Attack</t>
  </si>
  <si>
    <t xml:space="preserve">Big hit.</t>
  </si>
  <si>
    <t xml:space="preserve">Charge Up</t>
  </si>
  <si>
    <t xml:space="preserve">Yes: "charges up..."</t>
  </si>
  <si>
    <t xml:space="preserve">Does nothing this turn, then next turn unleashes Devastating Attack.</t>
  </si>
  <si>
    <t xml:space="preserve">Devastating Attack</t>
  </si>
  <si>
    <t xml:space="preserve">(follows Charge Up)</t>
  </si>
  <si>
    <t xml:space="preserve">Always happens the turn after Charge Up. Defend to reduce it.</t>
  </si>
  <si>
    <t xml:space="preserve">Total chance</t>
  </si>
  <si>
    <t xml:space="preserve">Boss special moves (Move objects in enemies.py)</t>
  </si>
  <si>
    <t xml:space="preserve">Raw damage is before the player's defence and the +/-20% variance. Warned moves land the turn AFTER the warning.</t>
  </si>
  <si>
    <t xml:space="preserve">Total Power</t>
  </si>
  <si>
    <t xml:space="preserve">Boss Attack</t>
  </si>
  <si>
    <t xml:space="preserve">Raw Damage</t>
  </si>
  <si>
    <t xml:space="preserve">Raw Damage (Enraged)</t>
  </si>
  <si>
    <t xml:space="preserve">Warning Text</t>
  </si>
  <si>
    <t xml:space="preserve">crouches low, ready to pounce!</t>
  </si>
  <si>
    <t xml:space="preserve">Laser Sweep</t>
  </si>
  <si>
    <t xml:space="preserve">locks its targeting laser onto you!</t>
  </si>
  <si>
    <t xml:space="preserve">Twin Blasters</t>
  </si>
  <si>
    <t xml:space="preserve">(none - instant)</t>
  </si>
  <si>
    <t xml:space="preserve">raises its hammer high above you!</t>
  </si>
  <si>
    <t xml:space="preserve">Cataclysm</t>
  </si>
  <si>
    <t xml:space="preserve">draws the rift into its fists...</t>
  </si>
  <si>
    <t xml:space="preserve">Rending Claws</t>
  </si>
  <si>
    <t xml:space="preserve">Tremor</t>
  </si>
  <si>
    <t xml:space="preserve">stamps the ground and the floor starts to crack!</t>
  </si>
  <si>
    <t xml:space="preserve">Green = pulled from the Monsters sheet.</t>
  </si>
  <si>
    <t xml:space="preserve">Raw damage of every enemy move</t>
  </si>
  <si>
    <t xml:space="preserve">Attack x move power. Change an Attack value on the Monsters sheet and this updates.</t>
  </si>
  <si>
    <t xml:space="preserve">Attack (1.0x)</t>
  </si>
  <si>
    <t xml:space="preserve">Heavy Attack (1.5x)</t>
  </si>
  <si>
    <t xml:space="preserve">Devastating (2.2x)</t>
  </si>
  <si>
    <t xml:space="preserve">Enraged Heavy</t>
  </si>
  <si>
    <t xml:space="preserve">Enraged Devastating</t>
  </si>
  <si>
    <t xml:space="preserve">Balance Log</t>
  </si>
  <si>
    <t xml:space="preserve">One row per change, oldest first. Add new changes at the bottom: date, what, old, new, why, and how you found out (sim or playtest).</t>
  </si>
  <si>
    <t xml:space="preserve">Date</t>
  </si>
  <si>
    <t xml:space="preserve">What Changed</t>
  </si>
  <si>
    <t xml:space="preserve">Old</t>
  </si>
  <si>
    <t xml:space="preserve">New</t>
  </si>
  <si>
    <t xml:space="preserve">Why</t>
  </si>
  <si>
    <t xml:space="preserve">Found By</t>
  </si>
  <si>
    <t xml:space="preserve">28 Sep 2026</t>
  </si>
  <si>
    <t xml:space="preserve">Combat</t>
  </si>
  <si>
    <t xml:space="preserve">Damage variance</t>
  </si>
  <si>
    <t xml:space="preserve">None (fixed damage)</t>
  </si>
  <si>
    <t xml:space="preserve">±20% random</t>
  </si>
  <si>
    <t xml:space="preserve">Fights felt samey; percentage scales with stronger enemies</t>
  </si>
  <si>
    <t xml:space="preserve">Design</t>
  </si>
  <si>
    <t xml:space="preserve">Defend</t>
  </si>
  <si>
    <t xml:space="preserve">+2 defence (stacked forever)</t>
  </si>
  <si>
    <t xml:space="preserve">Damage ÷ 1.5 for one hit</t>
  </si>
  <si>
    <t xml:space="preserve">Old version stacked every turn and barely did anything</t>
  </si>
  <si>
    <t xml:space="preserve">Playtest</t>
  </si>
  <si>
    <t xml:space="preserve">29 Sep 2026</t>
  </si>
  <si>
    <t xml:space="preserve">Levelling</t>
  </si>
  <si>
    <t xml:space="preserve">XP needed per level</t>
  </si>
  <si>
    <t xml:space="preserve">24 × level</t>
  </si>
  <si>
    <t xml:space="preserve">First level system</t>
  </si>
  <si>
    <t xml:space="preserve">Level-up growth</t>
  </si>
  <si>
    <t xml:space="preserve">+12 HP, +1 Atk, +3 Def</t>
  </si>
  <si>
    <t xml:space="preserve">Paladin is the tank: health and defence over damage</t>
  </si>
  <si>
    <t xml:space="preserve">First dungeon stats</t>
  </si>
  <si>
    <t xml:space="preserve">Frog 35/3/4, Boar 40/8/2, Cheetah 85/10/5</t>
  </si>
  <si>
    <t xml:space="preserve">First version of the Rainforest</t>
  </si>
  <si>
    <t xml:space="preserve">30 Sep 2026</t>
  </si>
  <si>
    <t xml:space="preserve">Mutated Frog (HP/Atk/Def)</t>
  </si>
  <si>
    <t xml:space="preserve">35 / 3 / 4</t>
  </si>
  <si>
    <t xml:space="preserve">40 / 4 / 10</t>
  </si>
  <si>
    <t xml:space="preserve">Even button-mashing cleared 100% of runs</t>
  </si>
  <si>
    <t xml:space="preserve">Simulation</t>
  </si>
  <si>
    <t xml:space="preserve">Mutated Boar (HP/Atk/Def)</t>
  </si>
  <si>
    <t xml:space="preserve">40 / 8 / 2</t>
  </si>
  <si>
    <t xml:space="preserve">35 / 12 / 2</t>
  </si>
  <si>
    <t xml:space="preserve">Made it a fragile, hard-hitting threat</t>
  </si>
  <si>
    <t xml:space="preserve">Mutated Cheetah (HP/Atk/XP)</t>
  </si>
  <si>
    <t xml:space="preserve">85 / 10 / 25</t>
  </si>
  <si>
    <t xml:space="preserve">100 / 11 / 30</t>
  </si>
  <si>
    <t xml:space="preserve">Boss was too easy</t>
  </si>
  <si>
    <t xml:space="preserve">50 × level</t>
  </si>
  <si>
    <t xml:space="preserve">Levelling before the boss gave a full heal and removed all tension</t>
  </si>
  <si>
    <t xml:space="preserve">Dungeons</t>
  </si>
  <si>
    <t xml:space="preserve">Rest between rooms</t>
  </si>
  <si>
    <t xml:space="preserve">No healing</t>
  </si>
  <si>
    <t xml:space="preserve">Heal 25–35% of max HP</t>
  </si>
  <si>
    <t xml:space="preserve">Without it, rooms drained one HP pool and the boss was unwinnable</t>
  </si>
  <si>
    <t xml:space="preserve">Defend strength (defending_power)</t>
  </si>
  <si>
    <t xml:space="preserve">÷ 1.5</t>
  </si>
  <si>
    <t xml:space="preserve">÷ 3</t>
  </si>
  <si>
    <t xml:space="preserve">Defending against warnings made you MORE likely to lose</t>
  </si>
  <si>
    <t xml:space="preserve">Cheetah becomes a Boss</t>
  </si>
  <si>
    <t xml:space="preserve">Normal enemy</t>
  </si>
  <si>
    <t xml:space="preserve">Pounce 25% / 1.0x / 2 hits (warned), Enrage at 25% x2, 90 HP</t>
  </si>
  <si>
    <t xml:space="preserve">Bosses need special moves; warning gives Defend a purpose</t>
  </si>
  <si>
    <t xml:space="preserve">Simulation + design</t>
  </si>
  <si>
    <t xml:space="preserve">Defend duration</t>
  </si>
  <si>
    <t xml:space="preserve">Blocked first hit only</t>
  </si>
  <si>
    <t xml:space="preserve">Blocks the whole turn</t>
  </si>
  <si>
    <t xml:space="preserve">Pounce's second hit ignored Defend; reading the warning didn't pay off</t>
  </si>
  <si>
    <t xml:space="preserve">Enemy Brace duration</t>
  </si>
  <si>
    <t xml:space="preserve">Until next hit</t>
  </si>
  <si>
    <t xml:space="preserve">Until its next turn</t>
  </si>
  <si>
    <t xml:space="preserve">Fix needed after Defend change, or braces lasted forever</t>
  </si>
  <si>
    <t xml:space="preserve">Bug fix</t>
  </si>
  <si>
    <t xml:space="preserve">Mutated Cheetah (HP/Atk)</t>
  </si>
  <si>
    <t xml:space="preserve">90 / 11</t>
  </si>
  <si>
    <t xml:space="preserve">100 / 12</t>
  </si>
  <si>
    <t xml:space="preserve">Wanted a closer call (was finishing ~41% HP)</t>
  </si>
  <si>
    <t xml:space="preserve">Simulation + playtest</t>
  </si>
  <si>
    <t xml:space="preserve">Pounce power</t>
  </si>
  <si>
    <t xml:space="preserve">1.0x</t>
  </si>
  <si>
    <t xml:space="preserve">1.25x</t>
  </si>
  <si>
    <t xml:space="preserve">Closer call; ignoring the warning should hurt</t>
  </si>
  <si>
    <t xml:space="preserve">Room 1</t>
  </si>
  <si>
    <t xml:space="preserve">1 Frog</t>
  </si>
  <si>
    <t xml:space="preserve">2 Frogs</t>
  </si>
  <si>
    <t xml:space="preserve">Closer call</t>
  </si>
  <si>
    <t xml:space="preserve">Mutated Tadpole added</t>
  </si>
  <si>
    <t xml:space="preserve">25 / 4 / 5, 5 XP</t>
  </si>
  <si>
    <t xml:space="preserve">Weak swarm enemy for AOE rooms</t>
  </si>
  <si>
    <t xml:space="preserve">Level cap</t>
  </si>
  <si>
    <t xml:space="preserve">None</t>
  </si>
  <si>
    <t xml:space="preserve">Max level set</t>
  </si>
  <si>
    <t xml:space="preserve">New abilities</t>
  </si>
  <si>
    <t xml:space="preserve">Holy Ground Lv2, Lay on Hands Lv5, Divine Aegis Lv9, Radiant Slash Lv13, Judgement Lv20</t>
  </si>
  <si>
    <t xml:space="preserve">Unlocks spread across 20 levels</t>
  </si>
  <si>
    <t xml:space="preserve">Holy Ground power</t>
  </si>
  <si>
    <t xml:space="preserve">1.3x</t>
  </si>
  <si>
    <t xml:space="preserve">At 1.0x removing it made no difference, even vs groups</t>
  </si>
  <si>
    <t xml:space="preserve">Lay on Hands (heal / cooldown)</t>
  </si>
  <si>
    <t xml:space="preserve">30% / 6 turns</t>
  </si>
  <si>
    <t xml:space="preserve">25% / 7 turns</t>
  </si>
  <si>
    <t xml:space="preserve">Too strong: the whole game revolved around it</t>
  </si>
  <si>
    <t xml:space="preserve">Derelict Spaceship added</t>
  </si>
  <si>
    <t xml:space="preserve">Drones, Bot, Turrets, Rogue Overseer boss</t>
  </si>
  <si>
    <t xml:space="preserve">Lv 2–4 dungeon: smart 92% / casual 62% / mash 0%</t>
  </si>
  <si>
    <t xml:space="preserve">Rift</t>
  </si>
  <si>
    <t xml:space="preserve">Heart of the Rift added, then removed</t>
  </si>
  <si>
    <t xml:space="preserve">Removed (enemies kept)</t>
  </si>
  <si>
    <t xml:space="preserve">Lv 20 endgame not needed yet</t>
  </si>
  <si>
    <t xml:space="preserve">Classes</t>
  </si>
  <si>
    <t xml:space="preserve">Mana system</t>
  </si>
  <si>
    <t xml:space="preserve">Abilities can cost mana (default 0)</t>
  </si>
  <si>
    <t xml:space="preserve">For the Sorcerer</t>
  </si>
  <si>
    <t xml:space="preserve">1 Oct 2026</t>
  </si>
  <si>
    <t xml:space="preserve">New Room 1</t>
  </si>
  <si>
    <t xml:space="preserve">Starts with Frogs</t>
  </si>
  <si>
    <t xml:space="preserve">2 Tadpoles first</t>
  </si>
  <si>
    <t xml:space="preserve">Longer dungeon, same difficulty (2 keeps XP under the Lv 2 trap)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</si>
</sst>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General"/>
    <numFmt numFmtId="167" formatCode="0%"/>
    <numFmt numFmtId="168" formatCode="0.0\x"/>
    <numFmt numFmtId="169" formatCode="0.0"/>
    <numFmt numFmtId="170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F3E6E6"/>
        <bgColor rgb="FFE6E9F3"/>
      </patternFill>
    </fill>
    <fill>
      <patternFill patternType="solid">
        <fgColor rgb="FFFFF4D6"/>
        <bgColor rgb="FFF3E6E6"/>
      </patternFill>
    </fill>
    <fill>
      <patternFill patternType="solid">
        <fgColor rgb="FFE3F1E3"/>
        <bgColor rgb="FFE6E9F3"/>
      </patternFill>
    </fill>
    <fill>
      <patternFill patternType="solid">
        <fgColor rgb="FFE6E9F3"/>
        <bgColor rgb="FFE3F1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3B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E3"/>
          <bgColor rgb="FF000000"/>
        </patternFill>
      </fill>
    </dxf>
    <dxf>
      <fill>
        <patternFill patternType="solid">
          <fgColor rgb="FFE6E9F3"/>
          <bgColor rgb="FF000000"/>
        </patternFill>
      </fill>
    </dxf>
    <dxf>
      <fill>
        <patternFill patternType="solid">
          <fgColor rgb="FFF3E6E6"/>
          <bgColor rgb="FF000000"/>
        </patternFill>
      </fill>
    </dxf>
    <dxf>
      <fill>
        <patternFill>
          <bgColor rgb="FFE3F1E3"/>
        </patternFill>
      </fill>
    </dxf>
    <dxf>
      <fill>
        <patternFill>
          <bgColor rgb="FFFFF4D6"/>
        </patternFill>
      </fill>
    </dxf>
    <dxf>
      <fill>
        <patternFill>
          <bgColor rgb="FFF3E6E6"/>
        </patternFill>
      </fill>
    </dxf>
    <dxf>
      <fill>
        <patternFill>
          <bgColor rgb="FFE6E9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6E9F3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6E6"/>
      <rgbColor rgb="FFE3F1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2" min="11" style="1" width="12"/>
    <col collapsed="false" customWidth="true" hidden="false" outlineLevel="0" max="13" min="13" style="1" width="11"/>
    <col collapsed="false" customWidth="true" hidden="false" outlineLevel="0" max="14" min="14" style="1" width="32"/>
    <col collapsed="false" customWidth="true" hidden="false" outlineLevel="0" max="15" min="15" style="1" width="2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tru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6" t="n">
        <v>25</v>
      </c>
      <c r="F5" s="6" t="n">
        <v>4</v>
      </c>
      <c r="G5" s="6" t="n">
        <v>5</v>
      </c>
      <c r="H5" s="6" t="n">
        <v>5</v>
      </c>
      <c r="I5" s="7" t="n">
        <f aca="false">1-100/(100+G5)</f>
        <v>0.0476190476190477</v>
      </c>
      <c r="J5" s="8" t="n">
        <f aca="false">ROUND(E5*(100+G5)/100,0)</f>
        <v>26</v>
      </c>
      <c r="K5" s="9" t="s">
        <v>21</v>
      </c>
      <c r="L5" s="10" t="s">
        <v>21</v>
      </c>
      <c r="M5" s="11" t="str">
        <f aca="false">IF(D5="Boss",F5*L5,"-")</f>
        <v>-</v>
      </c>
      <c r="N5" s="5" t="s">
        <v>21</v>
      </c>
      <c r="O5" s="5" t="s">
        <v>22</v>
      </c>
    </row>
    <row r="6" customFormat="false" ht="15" hidden="false" customHeight="true" outlineLevel="0" collapsed="false">
      <c r="A6" s="5" t="s">
        <v>23</v>
      </c>
      <c r="B6" s="5" t="s">
        <v>18</v>
      </c>
      <c r="C6" s="5" t="s">
        <v>24</v>
      </c>
      <c r="D6" s="5" t="s">
        <v>20</v>
      </c>
      <c r="E6" s="6" t="n">
        <v>40</v>
      </c>
      <c r="F6" s="6" t="n">
        <v>4</v>
      </c>
      <c r="G6" s="6" t="n">
        <v>10</v>
      </c>
      <c r="H6" s="6" t="n">
        <v>8</v>
      </c>
      <c r="I6" s="7" t="n">
        <f aca="false">1-100/(100+G6)</f>
        <v>0.0909090909090909</v>
      </c>
      <c r="J6" s="8" t="n">
        <f aca="false">ROUND(E6*(100+G6)/100,0)</f>
        <v>44</v>
      </c>
      <c r="K6" s="9" t="s">
        <v>21</v>
      </c>
      <c r="L6" s="10" t="s">
        <v>21</v>
      </c>
      <c r="M6" s="11" t="str">
        <f aca="false">IF(D6="Boss",F6*L6,"-")</f>
        <v>-</v>
      </c>
      <c r="N6" s="5" t="s">
        <v>21</v>
      </c>
      <c r="O6" s="5" t="s">
        <v>22</v>
      </c>
    </row>
    <row r="7" customFormat="false" ht="15" hidden="false" customHeight="true" outlineLevel="0" collapsed="false">
      <c r="A7" s="5" t="s">
        <v>25</v>
      </c>
      <c r="B7" s="5" t="s">
        <v>18</v>
      </c>
      <c r="C7" s="5" t="s">
        <v>26</v>
      </c>
      <c r="D7" s="5" t="s">
        <v>20</v>
      </c>
      <c r="E7" s="6" t="n">
        <v>35</v>
      </c>
      <c r="F7" s="6" t="n">
        <v>12</v>
      </c>
      <c r="G7" s="6" t="n">
        <v>2</v>
      </c>
      <c r="H7" s="6" t="n">
        <v>12</v>
      </c>
      <c r="I7" s="7" t="n">
        <f aca="false">1-100/(100+G7)</f>
        <v>0.0196078431372549</v>
      </c>
      <c r="J7" s="8" t="n">
        <f aca="false">ROUND(E7*(100+G7)/100,0)</f>
        <v>36</v>
      </c>
      <c r="K7" s="9" t="s">
        <v>21</v>
      </c>
      <c r="L7" s="10" t="s">
        <v>21</v>
      </c>
      <c r="M7" s="11" t="str">
        <f aca="false">IF(D7="Boss",F7*L7,"-")</f>
        <v>-</v>
      </c>
      <c r="N7" s="5" t="s">
        <v>21</v>
      </c>
      <c r="O7" s="5" t="s">
        <v>22</v>
      </c>
    </row>
    <row r="8" customFormat="false" ht="15" hidden="false" customHeight="true" outlineLevel="0" collapsed="false">
      <c r="A8" s="12" t="s">
        <v>27</v>
      </c>
      <c r="B8" s="12" t="s">
        <v>18</v>
      </c>
      <c r="C8" s="12" t="s">
        <v>28</v>
      </c>
      <c r="D8" s="12" t="s">
        <v>29</v>
      </c>
      <c r="E8" s="13" t="n">
        <v>100</v>
      </c>
      <c r="F8" s="13" t="n">
        <v>12</v>
      </c>
      <c r="G8" s="13" t="n">
        <v>5</v>
      </c>
      <c r="H8" s="13" t="n">
        <v>30</v>
      </c>
      <c r="I8" s="14" t="n">
        <f aca="false">1-100/(100+G8)</f>
        <v>0.0476190476190477</v>
      </c>
      <c r="J8" s="15" t="n">
        <f aca="false">ROUND(E8*(100+G8)/100,0)</f>
        <v>105</v>
      </c>
      <c r="K8" s="16" t="n">
        <v>0.25</v>
      </c>
      <c r="L8" s="17" t="n">
        <v>2</v>
      </c>
      <c r="M8" s="18" t="n">
        <f aca="false">IF(D8="Boss",F8*L8,"-")</f>
        <v>24</v>
      </c>
      <c r="N8" s="12" t="s">
        <v>30</v>
      </c>
      <c r="O8" s="12" t="s">
        <v>22</v>
      </c>
    </row>
    <row r="9" customFormat="false" ht="15" hidden="false" customHeight="true" outlineLevel="0" collapsed="false">
      <c r="A9" s="5" t="s">
        <v>31</v>
      </c>
      <c r="B9" s="5" t="s">
        <v>32</v>
      </c>
      <c r="C9" s="5" t="s">
        <v>33</v>
      </c>
      <c r="D9" s="5" t="s">
        <v>20</v>
      </c>
      <c r="E9" s="6" t="n">
        <v>22</v>
      </c>
      <c r="F9" s="6" t="n">
        <v>5</v>
      </c>
      <c r="G9" s="6" t="n">
        <v>5</v>
      </c>
      <c r="H9" s="6" t="n">
        <v>6</v>
      </c>
      <c r="I9" s="7" t="n">
        <f aca="false">1-100/(100+G9)</f>
        <v>0.0476190476190477</v>
      </c>
      <c r="J9" s="8" t="n">
        <f aca="false">ROUND(E9*(100+G9)/100,0)</f>
        <v>23</v>
      </c>
      <c r="K9" s="9" t="s">
        <v>21</v>
      </c>
      <c r="L9" s="10" t="s">
        <v>21</v>
      </c>
      <c r="M9" s="11" t="str">
        <f aca="false">IF(D9="Boss",F9*L9,"-")</f>
        <v>-</v>
      </c>
      <c r="N9" s="5" t="s">
        <v>21</v>
      </c>
      <c r="O9" s="5" t="s">
        <v>22</v>
      </c>
    </row>
    <row r="10" customFormat="false" ht="15" hidden="false" customHeight="true" outlineLevel="0" collapsed="false">
      <c r="A10" s="5" t="s">
        <v>34</v>
      </c>
      <c r="B10" s="5" t="s">
        <v>32</v>
      </c>
      <c r="C10" s="5" t="s">
        <v>35</v>
      </c>
      <c r="D10" s="5" t="s">
        <v>20</v>
      </c>
      <c r="E10" s="6" t="n">
        <v>70</v>
      </c>
      <c r="F10" s="6" t="n">
        <v>8</v>
      </c>
      <c r="G10" s="6" t="n">
        <v>15</v>
      </c>
      <c r="H10" s="6" t="n">
        <v>16</v>
      </c>
      <c r="I10" s="7" t="n">
        <f aca="false">1-100/(100+G10)</f>
        <v>0.130434782608696</v>
      </c>
      <c r="J10" s="8" t="n">
        <f aca="false">ROUND(E10*(100+G10)/100,0)</f>
        <v>81</v>
      </c>
      <c r="K10" s="9" t="s">
        <v>21</v>
      </c>
      <c r="L10" s="10" t="s">
        <v>21</v>
      </c>
      <c r="M10" s="11" t="str">
        <f aca="false">IF(D10="Boss",F10*L10,"-")</f>
        <v>-</v>
      </c>
      <c r="N10" s="5" t="s">
        <v>21</v>
      </c>
      <c r="O10" s="5" t="s">
        <v>22</v>
      </c>
    </row>
    <row r="11" customFormat="false" ht="15" hidden="false" customHeight="true" outlineLevel="0" collapsed="false">
      <c r="A11" s="5" t="s">
        <v>36</v>
      </c>
      <c r="B11" s="5" t="s">
        <v>32</v>
      </c>
      <c r="C11" s="5" t="s">
        <v>26</v>
      </c>
      <c r="D11" s="5" t="s">
        <v>20</v>
      </c>
      <c r="E11" s="6" t="n">
        <v>30</v>
      </c>
      <c r="F11" s="6" t="n">
        <v>9</v>
      </c>
      <c r="G11" s="6" t="n">
        <v>5</v>
      </c>
      <c r="H11" s="6" t="n">
        <v>14</v>
      </c>
      <c r="I11" s="7" t="n">
        <f aca="false">1-100/(100+G11)</f>
        <v>0.0476190476190477</v>
      </c>
      <c r="J11" s="8" t="n">
        <f aca="false">ROUND(E11*(100+G11)/100,0)</f>
        <v>32</v>
      </c>
      <c r="K11" s="9" t="s">
        <v>21</v>
      </c>
      <c r="L11" s="10" t="s">
        <v>21</v>
      </c>
      <c r="M11" s="11" t="str">
        <f aca="false">IF(D11="Boss",F11*L11,"-")</f>
        <v>-</v>
      </c>
      <c r="N11" s="5" t="s">
        <v>21</v>
      </c>
      <c r="O11" s="5" t="s">
        <v>22</v>
      </c>
    </row>
    <row r="12" customFormat="false" ht="15" hidden="false" customHeight="true" outlineLevel="0" collapsed="false">
      <c r="A12" s="12" t="s">
        <v>37</v>
      </c>
      <c r="B12" s="12" t="s">
        <v>32</v>
      </c>
      <c r="C12" s="12" t="s">
        <v>28</v>
      </c>
      <c r="D12" s="12" t="s">
        <v>29</v>
      </c>
      <c r="E12" s="13" t="n">
        <v>120</v>
      </c>
      <c r="F12" s="13" t="n">
        <v>10</v>
      </c>
      <c r="G12" s="13" t="n">
        <v>10</v>
      </c>
      <c r="H12" s="13" t="n">
        <v>45</v>
      </c>
      <c r="I12" s="14" t="n">
        <f aca="false">1-100/(100+G12)</f>
        <v>0.0909090909090909</v>
      </c>
      <c r="J12" s="15" t="n">
        <f aca="false">ROUND(E12*(100+G12)/100,0)</f>
        <v>132</v>
      </c>
      <c r="K12" s="16" t="n">
        <v>0.25</v>
      </c>
      <c r="L12" s="17" t="n">
        <v>1.5</v>
      </c>
      <c r="M12" s="18" t="n">
        <f aca="false">IF(D12="Boss",F12*L12,"-")</f>
        <v>15</v>
      </c>
      <c r="N12" s="12" t="s">
        <v>38</v>
      </c>
      <c r="O12" s="12" t="s">
        <v>22</v>
      </c>
    </row>
    <row r="13" customFormat="false" ht="15" hidden="false" customHeight="true" outlineLevel="0" collapsed="false">
      <c r="A13" s="5" t="s">
        <v>39</v>
      </c>
      <c r="B13" s="5" t="s">
        <v>40</v>
      </c>
      <c r="C13" s="5" t="s">
        <v>21</v>
      </c>
      <c r="D13" s="5" t="s">
        <v>20</v>
      </c>
      <c r="E13" s="6" t="n">
        <v>60</v>
      </c>
      <c r="F13" s="6" t="n">
        <v>18</v>
      </c>
      <c r="G13" s="6" t="n">
        <v>10</v>
      </c>
      <c r="H13" s="6" t="n">
        <v>40</v>
      </c>
      <c r="I13" s="7" t="n">
        <f aca="false">1-100/(100+G13)</f>
        <v>0.0909090909090909</v>
      </c>
      <c r="J13" s="8" t="n">
        <f aca="false">ROUND(E13*(100+G13)/100,0)</f>
        <v>66</v>
      </c>
      <c r="K13" s="9" t="s">
        <v>21</v>
      </c>
      <c r="L13" s="10" t="s">
        <v>21</v>
      </c>
      <c r="M13" s="11" t="str">
        <f aca="false">IF(D13="Boss",F13*L13,"-")</f>
        <v>-</v>
      </c>
      <c r="N13" s="5" t="s">
        <v>21</v>
      </c>
      <c r="O13" s="5" t="s">
        <v>41</v>
      </c>
    </row>
    <row r="14" customFormat="false" ht="15" hidden="false" customHeight="true" outlineLevel="0" collapsed="false">
      <c r="A14" s="5" t="s">
        <v>42</v>
      </c>
      <c r="B14" s="5" t="s">
        <v>40</v>
      </c>
      <c r="C14" s="5" t="s">
        <v>21</v>
      </c>
      <c r="D14" s="5" t="s">
        <v>20</v>
      </c>
      <c r="E14" s="6" t="n">
        <v>180</v>
      </c>
      <c r="F14" s="6" t="n">
        <v>32</v>
      </c>
      <c r="G14" s="6" t="n">
        <v>40</v>
      </c>
      <c r="H14" s="6" t="n">
        <v>120</v>
      </c>
      <c r="I14" s="7" t="n">
        <f aca="false">1-100/(100+G14)</f>
        <v>0.285714285714286</v>
      </c>
      <c r="J14" s="8" t="n">
        <f aca="false">ROUND(E14*(100+G14)/100,0)</f>
        <v>252</v>
      </c>
      <c r="K14" s="9" t="s">
        <v>21</v>
      </c>
      <c r="L14" s="10" t="s">
        <v>21</v>
      </c>
      <c r="M14" s="11" t="str">
        <f aca="false">IF(D14="Boss",F14*L14,"-")</f>
        <v>-</v>
      </c>
      <c r="N14" s="5" t="s">
        <v>21</v>
      </c>
      <c r="O14" s="5" t="s">
        <v>41</v>
      </c>
    </row>
    <row r="15" customFormat="false" ht="15" hidden="false" customHeight="true" outlineLevel="0" collapsed="false">
      <c r="A15" s="5" t="s">
        <v>43</v>
      </c>
      <c r="B15" s="5" t="s">
        <v>40</v>
      </c>
      <c r="C15" s="5" t="s">
        <v>21</v>
      </c>
      <c r="D15" s="5" t="s">
        <v>20</v>
      </c>
      <c r="E15" s="6" t="n">
        <v>110</v>
      </c>
      <c r="F15" s="6" t="n">
        <v>35</v>
      </c>
      <c r="G15" s="6" t="n">
        <v>10</v>
      </c>
      <c r="H15" s="6" t="n">
        <v>90</v>
      </c>
      <c r="I15" s="7" t="n">
        <f aca="false">1-100/(100+G15)</f>
        <v>0.0909090909090909</v>
      </c>
      <c r="J15" s="8" t="n">
        <f aca="false">ROUND(E15*(100+G15)/100,0)</f>
        <v>121</v>
      </c>
      <c r="K15" s="9" t="s">
        <v>21</v>
      </c>
      <c r="L15" s="10" t="s">
        <v>21</v>
      </c>
      <c r="M15" s="11" t="str">
        <f aca="false">IF(D15="Boss",F15*L15,"-")</f>
        <v>-</v>
      </c>
      <c r="N15" s="5" t="s">
        <v>21</v>
      </c>
      <c r="O15" s="5" t="s">
        <v>41</v>
      </c>
    </row>
    <row r="16" customFormat="false" ht="15" hidden="false" customHeight="true" outlineLevel="0" collapsed="false">
      <c r="A16" s="12" t="s">
        <v>44</v>
      </c>
      <c r="B16" s="12" t="s">
        <v>40</v>
      </c>
      <c r="C16" s="12" t="s">
        <v>21</v>
      </c>
      <c r="D16" s="12" t="s">
        <v>29</v>
      </c>
      <c r="E16" s="13" t="n">
        <v>450</v>
      </c>
      <c r="F16" s="13" t="n">
        <v>34</v>
      </c>
      <c r="G16" s="13" t="n">
        <v>30</v>
      </c>
      <c r="H16" s="13" t="n">
        <v>300</v>
      </c>
      <c r="I16" s="14" t="n">
        <f aca="false">1-100/(100+G16)</f>
        <v>0.230769230769231</v>
      </c>
      <c r="J16" s="15" t="n">
        <f aca="false">ROUND(E16*(100+G16)/100,0)</f>
        <v>585</v>
      </c>
      <c r="K16" s="16" t="n">
        <v>0.25</v>
      </c>
      <c r="L16" s="17" t="n">
        <v>1.4</v>
      </c>
      <c r="M16" s="18" t="n">
        <f aca="false">IF(D16="Boss",F16*L16,"-")</f>
        <v>47.6</v>
      </c>
      <c r="N16" s="12" t="s">
        <v>45</v>
      </c>
      <c r="O16" s="12" t="s">
        <v>41</v>
      </c>
    </row>
    <row r="17" customFormat="false" ht="15" hidden="false" customHeight="true" outlineLevel="0" collapsed="false">
      <c r="A17" s="12" t="s">
        <v>46</v>
      </c>
      <c r="B17" s="12" t="s">
        <v>40</v>
      </c>
      <c r="C17" s="12" t="s">
        <v>21</v>
      </c>
      <c r="D17" s="12" t="s">
        <v>29</v>
      </c>
      <c r="E17" s="13" t="n">
        <v>900</v>
      </c>
      <c r="F17" s="13" t="n">
        <v>42</v>
      </c>
      <c r="G17" s="13" t="n">
        <v>40</v>
      </c>
      <c r="H17" s="13" t="n">
        <v>600</v>
      </c>
      <c r="I17" s="14" t="n">
        <f aca="false">1-100/(100+G17)</f>
        <v>0.285714285714286</v>
      </c>
      <c r="J17" s="15" t="n">
        <f aca="false">ROUND(E17*(100+G17)/100,0)</f>
        <v>1260</v>
      </c>
      <c r="K17" s="16" t="n">
        <v>0.3</v>
      </c>
      <c r="L17" s="17" t="n">
        <v>1.5</v>
      </c>
      <c r="M17" s="18" t="n">
        <f aca="false">IF(D17="Boss",F17*L17,"-")</f>
        <v>63</v>
      </c>
      <c r="N17" s="12" t="s">
        <v>47</v>
      </c>
      <c r="O17" s="12" t="s">
        <v>41</v>
      </c>
    </row>
    <row r="19" customFormat="false" ht="15" hidden="false" customHeight="true" outlineLevel="0" collapsed="false">
      <c r="A19" s="19" t="s">
        <v>48</v>
      </c>
    </row>
    <row r="20" customFormat="false" ht="15" hidden="false" customHeight="true" outlineLevel="0" collapsed="false">
      <c r="A20" s="3" t="s">
        <v>49</v>
      </c>
    </row>
    <row r="21" customFormat="false" ht="15" hidden="false" customHeight="true" outlineLevel="0" collapsed="false">
      <c r="A21" s="3" t="s">
        <v>50</v>
      </c>
    </row>
    <row r="22" customFormat="false" ht="15" hidden="false" customHeight="true" outlineLevel="0" collapsed="false">
      <c r="A22" s="3" t="s">
        <v>51</v>
      </c>
    </row>
    <row r="23" customFormat="false" ht="15" hidden="false" customHeight="true" outlineLevel="0" collapsed="false">
      <c r="A23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7" min="6" style="1" width="1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46"/>
    <col collapsed="false" customWidth="true" hidden="false" outlineLevel="0" max="14" min="14" style="1" width="20"/>
  </cols>
  <sheetData>
    <row r="1" customFormat="false" ht="15.75" hidden="false" customHeight="true" outlineLevel="0" collapsed="false">
      <c r="A1" s="2" t="s">
        <v>53</v>
      </c>
    </row>
    <row r="2" customFormat="false" ht="15" hidden="false" customHeight="true" outlineLevel="0" collapsed="false">
      <c r="A2" s="3" t="s">
        <v>54</v>
      </c>
    </row>
    <row r="4" customFormat="false" ht="15" hidden="false" customHeight="true" outlineLevel="0" collapsed="false">
      <c r="A4" s="19" t="s">
        <v>55</v>
      </c>
    </row>
    <row r="5" customFormat="false" ht="31.5" hidden="false" customHeight="true" outlineLevel="0" collapsed="false">
      <c r="A5" s="4" t="s">
        <v>56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65</v>
      </c>
      <c r="K5" s="4" t="s">
        <v>66</v>
      </c>
      <c r="L5" s="4" t="s">
        <v>67</v>
      </c>
      <c r="M5" s="4" t="s">
        <v>68</v>
      </c>
      <c r="N5" s="4" t="s">
        <v>16</v>
      </c>
    </row>
    <row r="6" customFormat="false" ht="15" hidden="false" customHeight="true" outlineLevel="0" collapsed="false">
      <c r="A6" s="5" t="s">
        <v>69</v>
      </c>
      <c r="B6" s="5" t="s">
        <v>70</v>
      </c>
      <c r="C6" s="20" t="n">
        <v>120</v>
      </c>
      <c r="D6" s="20" t="n">
        <v>10</v>
      </c>
      <c r="E6" s="20" t="n">
        <v>6</v>
      </c>
      <c r="F6" s="20" t="n">
        <v>12</v>
      </c>
      <c r="G6" s="20" t="n">
        <v>1</v>
      </c>
      <c r="H6" s="20" t="n">
        <v>3</v>
      </c>
      <c r="I6" s="20" t="n">
        <v>3</v>
      </c>
      <c r="J6" s="21" t="n">
        <f aca="false">1-1/I6</f>
        <v>0.666666666666667</v>
      </c>
      <c r="K6" s="20" t="n">
        <v>0</v>
      </c>
      <c r="L6" s="20" t="n">
        <v>0</v>
      </c>
      <c r="M6" s="20" t="n">
        <v>20</v>
      </c>
      <c r="N6" s="22" t="s">
        <v>22</v>
      </c>
    </row>
    <row r="7" customFormat="false" ht="15" hidden="false" customHeight="true" outlineLevel="0" collapsed="false">
      <c r="A7" s="5" t="s">
        <v>71</v>
      </c>
      <c r="B7" s="5" t="s">
        <v>72</v>
      </c>
      <c r="C7" s="22" t="s">
        <v>21</v>
      </c>
      <c r="D7" s="22" t="s">
        <v>21</v>
      </c>
      <c r="E7" s="22" t="s">
        <v>21</v>
      </c>
      <c r="F7" s="22" t="s">
        <v>21</v>
      </c>
      <c r="G7" s="22" t="s">
        <v>21</v>
      </c>
      <c r="H7" s="22" t="s">
        <v>21</v>
      </c>
      <c r="I7" s="22" t="s">
        <v>21</v>
      </c>
      <c r="J7" s="22" t="s">
        <v>21</v>
      </c>
      <c r="K7" s="22" t="s">
        <v>21</v>
      </c>
      <c r="L7" s="22" t="s">
        <v>21</v>
      </c>
      <c r="M7" s="22" t="s">
        <v>21</v>
      </c>
      <c r="N7" s="22" t="s">
        <v>73</v>
      </c>
    </row>
    <row r="9" customFormat="false" ht="15" hidden="false" customHeight="true" outlineLevel="0" collapsed="false">
      <c r="A9" s="19" t="s">
        <v>74</v>
      </c>
    </row>
    <row r="10" customFormat="false" ht="31.5" hidden="false" customHeight="true" outlineLevel="0" collapsed="false">
      <c r="A10" s="4" t="s">
        <v>75</v>
      </c>
      <c r="B10" s="4" t="s">
        <v>76</v>
      </c>
      <c r="C10" s="4" t="s">
        <v>77</v>
      </c>
      <c r="D10" s="4" t="s">
        <v>78</v>
      </c>
      <c r="E10" s="4" t="s">
        <v>79</v>
      </c>
      <c r="F10" s="4" t="s">
        <v>80</v>
      </c>
      <c r="G10" s="4" t="s">
        <v>81</v>
      </c>
      <c r="H10" s="4" t="s">
        <v>82</v>
      </c>
      <c r="I10" s="4" t="s">
        <v>83</v>
      </c>
      <c r="J10" s="4" t="s">
        <v>84</v>
      </c>
      <c r="K10" s="4" t="s">
        <v>85</v>
      </c>
      <c r="L10" s="4" t="s">
        <v>86</v>
      </c>
      <c r="M10" s="4" t="s">
        <v>87</v>
      </c>
    </row>
    <row r="11" customFormat="false" ht="15" hidden="false" customHeight="true" outlineLevel="0" collapsed="false">
      <c r="A11" s="5" t="s">
        <v>88</v>
      </c>
      <c r="B11" s="22" t="s">
        <v>89</v>
      </c>
      <c r="C11" s="22" t="s">
        <v>90</v>
      </c>
      <c r="D11" s="20" t="n">
        <v>1</v>
      </c>
      <c r="E11" s="23" t="n">
        <v>1.3</v>
      </c>
      <c r="F11" s="20" t="n">
        <v>2</v>
      </c>
      <c r="G11" s="22" t="s">
        <v>91</v>
      </c>
      <c r="H11" s="20" t="n">
        <v>0</v>
      </c>
      <c r="I11" s="22" t="s">
        <v>21</v>
      </c>
      <c r="J11" s="22" t="n">
        <f aca="false">INDEX($C$25:$C$44,D11)</f>
        <v>10</v>
      </c>
      <c r="K11" s="22" t="n">
        <f aca="false">ROUND(J11*E11,0)</f>
        <v>13</v>
      </c>
      <c r="L11" s="22" t="n">
        <f aca="false">ROUND($C$44*E11,0)</f>
        <v>38</v>
      </c>
      <c r="M11" s="5" t="s">
        <v>92</v>
      </c>
    </row>
    <row r="12" customFormat="false" ht="15" hidden="false" customHeight="true" outlineLevel="0" collapsed="false">
      <c r="A12" s="5" t="s">
        <v>93</v>
      </c>
      <c r="B12" s="22" t="s">
        <v>94</v>
      </c>
      <c r="C12" s="22" t="s">
        <v>90</v>
      </c>
      <c r="D12" s="20" t="n">
        <v>1</v>
      </c>
      <c r="E12" s="23" t="n">
        <v>2</v>
      </c>
      <c r="F12" s="20" t="n">
        <v>4</v>
      </c>
      <c r="G12" s="22" t="s">
        <v>91</v>
      </c>
      <c r="H12" s="20" t="n">
        <v>0</v>
      </c>
      <c r="I12" s="22" t="s">
        <v>21</v>
      </c>
      <c r="J12" s="22" t="n">
        <f aca="false">INDEX($C$25:$C$44,D12)</f>
        <v>10</v>
      </c>
      <c r="K12" s="22" t="n">
        <f aca="false">ROUND(J12*E12,0)</f>
        <v>20</v>
      </c>
      <c r="L12" s="22" t="n">
        <f aca="false">ROUND($C$44*E12,0)</f>
        <v>58</v>
      </c>
      <c r="M12" s="5" t="s">
        <v>95</v>
      </c>
    </row>
    <row r="13" customFormat="false" ht="15" hidden="false" customHeight="true" outlineLevel="0" collapsed="false">
      <c r="A13" s="5" t="s">
        <v>96</v>
      </c>
      <c r="B13" s="22" t="s">
        <v>97</v>
      </c>
      <c r="C13" s="22" t="s">
        <v>98</v>
      </c>
      <c r="D13" s="20" t="n">
        <v>2</v>
      </c>
      <c r="E13" s="23" t="n">
        <v>1.3</v>
      </c>
      <c r="F13" s="20" t="n">
        <v>3</v>
      </c>
      <c r="G13" s="22" t="s">
        <v>99</v>
      </c>
      <c r="H13" s="20" t="n">
        <v>0</v>
      </c>
      <c r="I13" s="22" t="s">
        <v>21</v>
      </c>
      <c r="J13" s="22" t="n">
        <f aca="false">INDEX($C$25:$C$44,D13)</f>
        <v>11</v>
      </c>
      <c r="K13" s="22" t="n">
        <f aca="false">ROUND(J13*E13,0)</f>
        <v>14</v>
      </c>
      <c r="L13" s="22" t="n">
        <f aca="false">ROUND($C$44*E13,0)</f>
        <v>38</v>
      </c>
      <c r="M13" s="5" t="s">
        <v>100</v>
      </c>
    </row>
    <row r="14" customFormat="false" ht="15" hidden="false" customHeight="true" outlineLevel="0" collapsed="false">
      <c r="A14" s="5" t="s">
        <v>101</v>
      </c>
      <c r="B14" s="22" t="s">
        <v>102</v>
      </c>
      <c r="C14" s="22" t="s">
        <v>103</v>
      </c>
      <c r="D14" s="20" t="n">
        <v>5</v>
      </c>
      <c r="E14" s="24" t="n">
        <v>0.25</v>
      </c>
      <c r="F14" s="20" t="n">
        <v>7</v>
      </c>
      <c r="G14" s="22" t="s">
        <v>104</v>
      </c>
      <c r="H14" s="20" t="n">
        <v>0</v>
      </c>
      <c r="I14" s="22" t="s">
        <v>21</v>
      </c>
      <c r="J14" s="22" t="n">
        <f aca="false">INDEX($C$25:$C$44,D14)</f>
        <v>14</v>
      </c>
      <c r="K14" s="22" t="str">
        <f aca="false">ROUND(INDEX($B$25:$B$44,D14)*E14,0)&amp;" HP"</f>
        <v>42 HP</v>
      </c>
      <c r="L14" s="22" t="str">
        <f aca="false">ROUND($B$44*E14,0)&amp;" HP"</f>
        <v>87 HP</v>
      </c>
      <c r="M14" s="5" t="s">
        <v>105</v>
      </c>
    </row>
    <row r="15" customFormat="false" ht="15" hidden="false" customHeight="true" outlineLevel="0" collapsed="false">
      <c r="A15" s="5" t="s">
        <v>106</v>
      </c>
      <c r="B15" s="22" t="s">
        <v>107</v>
      </c>
      <c r="C15" s="22" t="s">
        <v>108</v>
      </c>
      <c r="D15" s="20" t="n">
        <v>9</v>
      </c>
      <c r="E15" s="23" t="n">
        <v>0</v>
      </c>
      <c r="F15" s="20" t="n">
        <v>6</v>
      </c>
      <c r="G15" s="22" t="s">
        <v>104</v>
      </c>
      <c r="H15" s="20" t="n">
        <v>0</v>
      </c>
      <c r="I15" s="22" t="s">
        <v>21</v>
      </c>
      <c r="J15" s="22" t="n">
        <f aca="false">INDEX($C$25:$C$44,D15)</f>
        <v>18</v>
      </c>
      <c r="K15" s="22" t="s">
        <v>109</v>
      </c>
      <c r="L15" s="22" t="s">
        <v>109</v>
      </c>
      <c r="M15" s="5" t="s">
        <v>110</v>
      </c>
    </row>
    <row r="16" customFormat="false" ht="15" hidden="false" customHeight="true" outlineLevel="0" collapsed="false">
      <c r="A16" s="5" t="s">
        <v>111</v>
      </c>
      <c r="B16" s="22" t="s">
        <v>112</v>
      </c>
      <c r="C16" s="22" t="s">
        <v>113</v>
      </c>
      <c r="D16" s="20" t="n">
        <v>13</v>
      </c>
      <c r="E16" s="23" t="n">
        <v>1.6</v>
      </c>
      <c r="F16" s="20" t="n">
        <v>4</v>
      </c>
      <c r="G16" s="22" t="s">
        <v>91</v>
      </c>
      <c r="H16" s="20" t="n">
        <v>0</v>
      </c>
      <c r="I16" s="24" t="n">
        <v>0.5</v>
      </c>
      <c r="J16" s="22" t="n">
        <f aca="false">INDEX($C$25:$C$44,D16)</f>
        <v>22</v>
      </c>
      <c r="K16" s="22" t="n">
        <f aca="false">ROUND(J16*E16,0)</f>
        <v>35</v>
      </c>
      <c r="L16" s="22" t="n">
        <f aca="false">ROUND($C$44*E16,0)</f>
        <v>46</v>
      </c>
      <c r="M16" s="5" t="s">
        <v>114</v>
      </c>
    </row>
    <row r="17" customFormat="false" ht="15" hidden="false" customHeight="true" outlineLevel="0" collapsed="false">
      <c r="A17" s="5" t="s">
        <v>115</v>
      </c>
      <c r="B17" s="22" t="s">
        <v>116</v>
      </c>
      <c r="C17" s="22" t="s">
        <v>90</v>
      </c>
      <c r="D17" s="20" t="n">
        <v>20</v>
      </c>
      <c r="E17" s="23" t="n">
        <v>4</v>
      </c>
      <c r="F17" s="20" t="n">
        <v>8</v>
      </c>
      <c r="G17" s="22" t="s">
        <v>91</v>
      </c>
      <c r="H17" s="20" t="n">
        <v>0</v>
      </c>
      <c r="I17" s="22" t="s">
        <v>21</v>
      </c>
      <c r="J17" s="22" t="n">
        <f aca="false">INDEX($C$25:$C$44,D17)</f>
        <v>29</v>
      </c>
      <c r="K17" s="22" t="n">
        <f aca="false">ROUND(J17*E17,0)</f>
        <v>116</v>
      </c>
      <c r="L17" s="22" t="n">
        <f aca="false">ROUND($C$44*E17,0)</f>
        <v>116</v>
      </c>
      <c r="M17" s="5" t="s">
        <v>117</v>
      </c>
    </row>
    <row r="19" customFormat="false" ht="15" hidden="false" customHeight="true" outlineLevel="0" collapsed="false">
      <c r="A19" s="3" t="s">
        <v>118</v>
      </c>
    </row>
    <row r="20" customFormat="false" ht="15" hidden="false" customHeight="true" outlineLevel="0" collapsed="false">
      <c r="A20" s="3" t="s">
        <v>119</v>
      </c>
    </row>
    <row r="23" customFormat="false" ht="15" hidden="false" customHeight="true" outlineLevel="0" collapsed="false">
      <c r="A23" s="19" t="s">
        <v>120</v>
      </c>
    </row>
    <row r="24" customFormat="false" ht="31.5" hidden="false" customHeight="true" outlineLevel="0" collapsed="false">
      <c r="A24" s="4" t="s">
        <v>121</v>
      </c>
      <c r="B24" s="4" t="s">
        <v>122</v>
      </c>
      <c r="C24" s="4" t="s">
        <v>7</v>
      </c>
      <c r="D24" s="4" t="s">
        <v>8</v>
      </c>
      <c r="E24" s="4" t="s">
        <v>10</v>
      </c>
      <c r="F24" s="4" t="s">
        <v>123</v>
      </c>
      <c r="G24" s="4" t="s">
        <v>124</v>
      </c>
      <c r="H24" s="4" t="s">
        <v>125</v>
      </c>
    </row>
    <row r="25" customFormat="false" ht="15" hidden="false" customHeight="true" outlineLevel="0" collapsed="false">
      <c r="A25" s="22" t="n">
        <v>1</v>
      </c>
      <c r="B25" s="22" t="n">
        <f aca="false">$C$6+(A25-1)*$F$6</f>
        <v>120</v>
      </c>
      <c r="C25" s="22" t="n">
        <f aca="false">$D$6+(A25-1)*$G$6</f>
        <v>10</v>
      </c>
      <c r="D25" s="22" t="n">
        <f aca="false">$E$6+(A25-1)*$H$6</f>
        <v>6</v>
      </c>
      <c r="E25" s="25" t="n">
        <f aca="false">1-100/(100+D25)</f>
        <v>0.0566037735849057</v>
      </c>
      <c r="F25" s="22" t="n">
        <f aca="false">IF(A25&lt;$M$6,50*A25,"MAX")</f>
        <v>50</v>
      </c>
      <c r="G25" s="22" t="n">
        <f aca="false">25*A25*(A25-1)</f>
        <v>0</v>
      </c>
      <c r="H25" s="5" t="s">
        <v>126</v>
      </c>
    </row>
    <row r="26" customFormat="false" ht="15" hidden="false" customHeight="true" outlineLevel="0" collapsed="false">
      <c r="A26" s="22" t="n">
        <v>2</v>
      </c>
      <c r="B26" s="22" t="n">
        <f aca="false">$C$6+(A26-1)*$F$6</f>
        <v>132</v>
      </c>
      <c r="C26" s="22" t="n">
        <f aca="false">$D$6+(A26-1)*$G$6</f>
        <v>11</v>
      </c>
      <c r="D26" s="22" t="n">
        <f aca="false">$E$6+(A26-1)*$H$6</f>
        <v>9</v>
      </c>
      <c r="E26" s="25" t="n">
        <f aca="false">1-100/(100+D26)</f>
        <v>0.0825688073394495</v>
      </c>
      <c r="F26" s="22" t="n">
        <f aca="false">IF(A26&lt;$M$6,50*A26,"MAX")</f>
        <v>100</v>
      </c>
      <c r="G26" s="22" t="n">
        <f aca="false">25*A26*(A26-1)</f>
        <v>50</v>
      </c>
      <c r="H26" s="5" t="str">
        <f aca="false">IFERROR(INDEX($A$11:$A$17,MATCH(A26,$D$11:$D$17,0)),"")</f>
        <v>Holy Ground</v>
      </c>
    </row>
    <row r="27" customFormat="false" ht="15" hidden="false" customHeight="true" outlineLevel="0" collapsed="false">
      <c r="A27" s="22" t="n">
        <v>3</v>
      </c>
      <c r="B27" s="22" t="n">
        <f aca="false">$C$6+(A27-1)*$F$6</f>
        <v>144</v>
      </c>
      <c r="C27" s="22" t="n">
        <f aca="false">$D$6+(A27-1)*$G$6</f>
        <v>12</v>
      </c>
      <c r="D27" s="22" t="n">
        <f aca="false">$E$6+(A27-1)*$H$6</f>
        <v>12</v>
      </c>
      <c r="E27" s="25" t="n">
        <f aca="false">1-100/(100+D27)</f>
        <v>0.107142857142857</v>
      </c>
      <c r="F27" s="22" t="n">
        <f aca="false">IF(A27&lt;$M$6,50*A27,"MAX")</f>
        <v>150</v>
      </c>
      <c r="G27" s="22" t="n">
        <f aca="false">25*A27*(A27-1)</f>
        <v>150</v>
      </c>
      <c r="H27" s="5" t="str">
        <f aca="false">IFERROR(INDEX($A$11:$A$17,MATCH(A27,$D$11:$D$17,0)),"")</f>
        <v/>
      </c>
    </row>
    <row r="28" customFormat="false" ht="15" hidden="false" customHeight="true" outlineLevel="0" collapsed="false">
      <c r="A28" s="22" t="n">
        <v>4</v>
      </c>
      <c r="B28" s="22" t="n">
        <f aca="false">$C$6+(A28-1)*$F$6</f>
        <v>156</v>
      </c>
      <c r="C28" s="22" t="n">
        <f aca="false">$D$6+(A28-1)*$G$6</f>
        <v>13</v>
      </c>
      <c r="D28" s="22" t="n">
        <f aca="false">$E$6+(A28-1)*$H$6</f>
        <v>15</v>
      </c>
      <c r="E28" s="25" t="n">
        <f aca="false">1-100/(100+D28)</f>
        <v>0.130434782608696</v>
      </c>
      <c r="F28" s="22" t="n">
        <f aca="false">IF(A28&lt;$M$6,50*A28,"MAX")</f>
        <v>200</v>
      </c>
      <c r="G28" s="22" t="n">
        <f aca="false">25*A28*(A28-1)</f>
        <v>300</v>
      </c>
      <c r="H28" s="5" t="str">
        <f aca="false">IFERROR(INDEX($A$11:$A$17,MATCH(A28,$D$11:$D$17,0)),"")</f>
        <v/>
      </c>
    </row>
    <row r="29" customFormat="false" ht="15" hidden="false" customHeight="true" outlineLevel="0" collapsed="false">
      <c r="A29" s="22" t="n">
        <v>5</v>
      </c>
      <c r="B29" s="22" t="n">
        <f aca="false">$C$6+(A29-1)*$F$6</f>
        <v>168</v>
      </c>
      <c r="C29" s="22" t="n">
        <f aca="false">$D$6+(A29-1)*$G$6</f>
        <v>14</v>
      </c>
      <c r="D29" s="22" t="n">
        <f aca="false">$E$6+(A29-1)*$H$6</f>
        <v>18</v>
      </c>
      <c r="E29" s="25" t="n">
        <f aca="false">1-100/(100+D29)</f>
        <v>0.152542372881356</v>
      </c>
      <c r="F29" s="22" t="n">
        <f aca="false">IF(A29&lt;$M$6,50*A29,"MAX")</f>
        <v>250</v>
      </c>
      <c r="G29" s="22" t="n">
        <f aca="false">25*A29*(A29-1)</f>
        <v>500</v>
      </c>
      <c r="H29" s="5" t="str">
        <f aca="false">IFERROR(INDEX($A$11:$A$17,MATCH(A29,$D$11:$D$17,0)),"")</f>
        <v>Lay on Hands</v>
      </c>
    </row>
    <row r="30" customFormat="false" ht="15" hidden="false" customHeight="true" outlineLevel="0" collapsed="false">
      <c r="A30" s="22" t="n">
        <v>6</v>
      </c>
      <c r="B30" s="22" t="n">
        <f aca="false">$C$6+(A30-1)*$F$6</f>
        <v>180</v>
      </c>
      <c r="C30" s="22" t="n">
        <f aca="false">$D$6+(A30-1)*$G$6</f>
        <v>15</v>
      </c>
      <c r="D30" s="22" t="n">
        <f aca="false">$E$6+(A30-1)*$H$6</f>
        <v>21</v>
      </c>
      <c r="E30" s="25" t="n">
        <f aca="false">1-100/(100+D30)</f>
        <v>0.173553719008264</v>
      </c>
      <c r="F30" s="22" t="n">
        <f aca="false">IF(A30&lt;$M$6,50*A30,"MAX")</f>
        <v>300</v>
      </c>
      <c r="G30" s="22" t="n">
        <f aca="false">25*A30*(A30-1)</f>
        <v>750</v>
      </c>
      <c r="H30" s="5" t="str">
        <f aca="false">IFERROR(INDEX($A$11:$A$17,MATCH(A30,$D$11:$D$17,0)),"")</f>
        <v/>
      </c>
    </row>
    <row r="31" customFormat="false" ht="15" hidden="false" customHeight="true" outlineLevel="0" collapsed="false">
      <c r="A31" s="22" t="n">
        <v>7</v>
      </c>
      <c r="B31" s="22" t="n">
        <f aca="false">$C$6+(A31-1)*$F$6</f>
        <v>192</v>
      </c>
      <c r="C31" s="22" t="n">
        <f aca="false">$D$6+(A31-1)*$G$6</f>
        <v>16</v>
      </c>
      <c r="D31" s="22" t="n">
        <f aca="false">$E$6+(A31-1)*$H$6</f>
        <v>24</v>
      </c>
      <c r="E31" s="25" t="n">
        <f aca="false">1-100/(100+D31)</f>
        <v>0.193548387096774</v>
      </c>
      <c r="F31" s="22" t="n">
        <f aca="false">IF(A31&lt;$M$6,50*A31,"MAX")</f>
        <v>350</v>
      </c>
      <c r="G31" s="22" t="n">
        <f aca="false">25*A31*(A31-1)</f>
        <v>1050</v>
      </c>
      <c r="H31" s="5" t="str">
        <f aca="false">IFERROR(INDEX($A$11:$A$17,MATCH(A31,$D$11:$D$17,0)),"")</f>
        <v/>
      </c>
    </row>
    <row r="32" customFormat="false" ht="15" hidden="false" customHeight="true" outlineLevel="0" collapsed="false">
      <c r="A32" s="22" t="n">
        <v>8</v>
      </c>
      <c r="B32" s="22" t="n">
        <f aca="false">$C$6+(A32-1)*$F$6</f>
        <v>204</v>
      </c>
      <c r="C32" s="22" t="n">
        <f aca="false">$D$6+(A32-1)*$G$6</f>
        <v>17</v>
      </c>
      <c r="D32" s="22" t="n">
        <f aca="false">$E$6+(A32-1)*$H$6</f>
        <v>27</v>
      </c>
      <c r="E32" s="25" t="n">
        <f aca="false">1-100/(100+D32)</f>
        <v>0.21259842519685</v>
      </c>
      <c r="F32" s="22" t="n">
        <f aca="false">IF(A32&lt;$M$6,50*A32,"MAX")</f>
        <v>400</v>
      </c>
      <c r="G32" s="22" t="n">
        <f aca="false">25*A32*(A32-1)</f>
        <v>1400</v>
      </c>
      <c r="H32" s="5" t="str">
        <f aca="false">IFERROR(INDEX($A$11:$A$17,MATCH(A32,$D$11:$D$17,0)),"")</f>
        <v/>
      </c>
    </row>
    <row r="33" customFormat="false" ht="15" hidden="false" customHeight="true" outlineLevel="0" collapsed="false">
      <c r="A33" s="22" t="n">
        <v>9</v>
      </c>
      <c r="B33" s="22" t="n">
        <f aca="false">$C$6+(A33-1)*$F$6</f>
        <v>216</v>
      </c>
      <c r="C33" s="22" t="n">
        <f aca="false">$D$6+(A33-1)*$G$6</f>
        <v>18</v>
      </c>
      <c r="D33" s="22" t="n">
        <f aca="false">$E$6+(A33-1)*$H$6</f>
        <v>30</v>
      </c>
      <c r="E33" s="25" t="n">
        <f aca="false">1-100/(100+D33)</f>
        <v>0.230769230769231</v>
      </c>
      <c r="F33" s="22" t="n">
        <f aca="false">IF(A33&lt;$M$6,50*A33,"MAX")</f>
        <v>450</v>
      </c>
      <c r="G33" s="22" t="n">
        <f aca="false">25*A33*(A33-1)</f>
        <v>1800</v>
      </c>
      <c r="H33" s="5" t="str">
        <f aca="false">IFERROR(INDEX($A$11:$A$17,MATCH(A33,$D$11:$D$17,0)),"")</f>
        <v>Divine Aegis</v>
      </c>
    </row>
    <row r="34" customFormat="false" ht="15" hidden="false" customHeight="true" outlineLevel="0" collapsed="false">
      <c r="A34" s="22" t="n">
        <v>10</v>
      </c>
      <c r="B34" s="22" t="n">
        <f aca="false">$C$6+(A34-1)*$F$6</f>
        <v>228</v>
      </c>
      <c r="C34" s="22" t="n">
        <f aca="false">$D$6+(A34-1)*$G$6</f>
        <v>19</v>
      </c>
      <c r="D34" s="22" t="n">
        <f aca="false">$E$6+(A34-1)*$H$6</f>
        <v>33</v>
      </c>
      <c r="E34" s="25" t="n">
        <f aca="false">1-100/(100+D34)</f>
        <v>0.24812030075188</v>
      </c>
      <c r="F34" s="22" t="n">
        <f aca="false">IF(A34&lt;$M$6,50*A34,"MAX")</f>
        <v>500</v>
      </c>
      <c r="G34" s="22" t="n">
        <f aca="false">25*A34*(A34-1)</f>
        <v>2250</v>
      </c>
      <c r="H34" s="5" t="str">
        <f aca="false">IFERROR(INDEX($A$11:$A$17,MATCH(A34,$D$11:$D$17,0)),"")</f>
        <v/>
      </c>
    </row>
    <row r="35" customFormat="false" ht="15" hidden="false" customHeight="true" outlineLevel="0" collapsed="false">
      <c r="A35" s="22" t="n">
        <v>11</v>
      </c>
      <c r="B35" s="22" t="n">
        <f aca="false">$C$6+(A35-1)*$F$6</f>
        <v>240</v>
      </c>
      <c r="C35" s="22" t="n">
        <f aca="false">$D$6+(A35-1)*$G$6</f>
        <v>20</v>
      </c>
      <c r="D35" s="22" t="n">
        <f aca="false">$E$6+(A35-1)*$H$6</f>
        <v>36</v>
      </c>
      <c r="E35" s="25" t="n">
        <f aca="false">1-100/(100+D35)</f>
        <v>0.264705882352941</v>
      </c>
      <c r="F35" s="22" t="n">
        <f aca="false">IF(A35&lt;$M$6,50*A35,"MAX")</f>
        <v>550</v>
      </c>
      <c r="G35" s="22" t="n">
        <f aca="false">25*A35*(A35-1)</f>
        <v>2750</v>
      </c>
      <c r="H35" s="5" t="str">
        <f aca="false">IFERROR(INDEX($A$11:$A$17,MATCH(A35,$D$11:$D$17,0)),"")</f>
        <v/>
      </c>
    </row>
    <row r="36" customFormat="false" ht="15" hidden="false" customHeight="true" outlineLevel="0" collapsed="false">
      <c r="A36" s="22" t="n">
        <v>12</v>
      </c>
      <c r="B36" s="22" t="n">
        <f aca="false">$C$6+(A36-1)*$F$6</f>
        <v>252</v>
      </c>
      <c r="C36" s="22" t="n">
        <f aca="false">$D$6+(A36-1)*$G$6</f>
        <v>21</v>
      </c>
      <c r="D36" s="22" t="n">
        <f aca="false">$E$6+(A36-1)*$H$6</f>
        <v>39</v>
      </c>
      <c r="E36" s="25" t="n">
        <f aca="false">1-100/(100+D36)</f>
        <v>0.280575539568345</v>
      </c>
      <c r="F36" s="22" t="n">
        <f aca="false">IF(A36&lt;$M$6,50*A36,"MAX")</f>
        <v>600</v>
      </c>
      <c r="G36" s="22" t="n">
        <f aca="false">25*A36*(A36-1)</f>
        <v>3300</v>
      </c>
      <c r="H36" s="5" t="str">
        <f aca="false">IFERROR(INDEX($A$11:$A$17,MATCH(A36,$D$11:$D$17,0)),"")</f>
        <v/>
      </c>
    </row>
    <row r="37" customFormat="false" ht="15" hidden="false" customHeight="true" outlineLevel="0" collapsed="false">
      <c r="A37" s="22" t="n">
        <v>13</v>
      </c>
      <c r="B37" s="22" t="n">
        <f aca="false">$C$6+(A37-1)*$F$6</f>
        <v>264</v>
      </c>
      <c r="C37" s="22" t="n">
        <f aca="false">$D$6+(A37-1)*$G$6</f>
        <v>22</v>
      </c>
      <c r="D37" s="22" t="n">
        <f aca="false">$E$6+(A37-1)*$H$6</f>
        <v>42</v>
      </c>
      <c r="E37" s="25" t="n">
        <f aca="false">1-100/(100+D37)</f>
        <v>0.295774647887324</v>
      </c>
      <c r="F37" s="22" t="n">
        <f aca="false">IF(A37&lt;$M$6,50*A37,"MAX")</f>
        <v>650</v>
      </c>
      <c r="G37" s="22" t="n">
        <f aca="false">25*A37*(A37-1)</f>
        <v>3900</v>
      </c>
      <c r="H37" s="5" t="str">
        <f aca="false">IFERROR(INDEX($A$11:$A$17,MATCH(A37,$D$11:$D$17,0)),"")</f>
        <v>Radiant Slash</v>
      </c>
    </row>
    <row r="38" customFormat="false" ht="15" hidden="false" customHeight="true" outlineLevel="0" collapsed="false">
      <c r="A38" s="22" t="n">
        <v>14</v>
      </c>
      <c r="B38" s="22" t="n">
        <f aca="false">$C$6+(A38-1)*$F$6</f>
        <v>276</v>
      </c>
      <c r="C38" s="22" t="n">
        <f aca="false">$D$6+(A38-1)*$G$6</f>
        <v>23</v>
      </c>
      <c r="D38" s="22" t="n">
        <f aca="false">$E$6+(A38-1)*$H$6</f>
        <v>45</v>
      </c>
      <c r="E38" s="25" t="n">
        <f aca="false">1-100/(100+D38)</f>
        <v>0.310344827586207</v>
      </c>
      <c r="F38" s="22" t="n">
        <f aca="false">IF(A38&lt;$M$6,50*A38,"MAX")</f>
        <v>700</v>
      </c>
      <c r="G38" s="22" t="n">
        <f aca="false">25*A38*(A38-1)</f>
        <v>4550</v>
      </c>
      <c r="H38" s="5" t="str">
        <f aca="false">IFERROR(INDEX($A$11:$A$17,MATCH(A38,$D$11:$D$17,0)),"")</f>
        <v/>
      </c>
    </row>
    <row r="39" customFormat="false" ht="15" hidden="false" customHeight="true" outlineLevel="0" collapsed="false">
      <c r="A39" s="22" t="n">
        <v>15</v>
      </c>
      <c r="B39" s="22" t="n">
        <f aca="false">$C$6+(A39-1)*$F$6</f>
        <v>288</v>
      </c>
      <c r="C39" s="22" t="n">
        <f aca="false">$D$6+(A39-1)*$G$6</f>
        <v>24</v>
      </c>
      <c r="D39" s="22" t="n">
        <f aca="false">$E$6+(A39-1)*$H$6</f>
        <v>48</v>
      </c>
      <c r="E39" s="25" t="n">
        <f aca="false">1-100/(100+D39)</f>
        <v>0.324324324324324</v>
      </c>
      <c r="F39" s="22" t="n">
        <f aca="false">IF(A39&lt;$M$6,50*A39,"MAX")</f>
        <v>750</v>
      </c>
      <c r="G39" s="22" t="n">
        <f aca="false">25*A39*(A39-1)</f>
        <v>5250</v>
      </c>
      <c r="H39" s="5" t="str">
        <f aca="false">IFERROR(INDEX($A$11:$A$17,MATCH(A39,$D$11:$D$17,0)),"")</f>
        <v/>
      </c>
    </row>
    <row r="40" customFormat="false" ht="15" hidden="false" customHeight="true" outlineLevel="0" collapsed="false">
      <c r="A40" s="22" t="n">
        <v>16</v>
      </c>
      <c r="B40" s="22" t="n">
        <f aca="false">$C$6+(A40-1)*$F$6</f>
        <v>300</v>
      </c>
      <c r="C40" s="22" t="n">
        <f aca="false">$D$6+(A40-1)*$G$6</f>
        <v>25</v>
      </c>
      <c r="D40" s="22" t="n">
        <f aca="false">$E$6+(A40-1)*$H$6</f>
        <v>51</v>
      </c>
      <c r="E40" s="25" t="n">
        <f aca="false">1-100/(100+D40)</f>
        <v>0.337748344370861</v>
      </c>
      <c r="F40" s="22" t="n">
        <f aca="false">IF(A40&lt;$M$6,50*A40,"MAX")</f>
        <v>800</v>
      </c>
      <c r="G40" s="22" t="n">
        <f aca="false">25*A40*(A40-1)</f>
        <v>6000</v>
      </c>
      <c r="H40" s="5" t="str">
        <f aca="false">IFERROR(INDEX($A$11:$A$17,MATCH(A40,$D$11:$D$17,0)),"")</f>
        <v/>
      </c>
    </row>
    <row r="41" customFormat="false" ht="15" hidden="false" customHeight="true" outlineLevel="0" collapsed="false">
      <c r="A41" s="22" t="n">
        <v>17</v>
      </c>
      <c r="B41" s="22" t="n">
        <f aca="false">$C$6+(A41-1)*$F$6</f>
        <v>312</v>
      </c>
      <c r="C41" s="22" t="n">
        <f aca="false">$D$6+(A41-1)*$G$6</f>
        <v>26</v>
      </c>
      <c r="D41" s="22" t="n">
        <f aca="false">$E$6+(A41-1)*$H$6</f>
        <v>54</v>
      </c>
      <c r="E41" s="25" t="n">
        <f aca="false">1-100/(100+D41)</f>
        <v>0.350649350649351</v>
      </c>
      <c r="F41" s="22" t="n">
        <f aca="false">IF(A41&lt;$M$6,50*A41,"MAX")</f>
        <v>850</v>
      </c>
      <c r="G41" s="22" t="n">
        <f aca="false">25*A41*(A41-1)</f>
        <v>6800</v>
      </c>
      <c r="H41" s="5" t="str">
        <f aca="false">IFERROR(INDEX($A$11:$A$17,MATCH(A41,$D$11:$D$17,0)),"")</f>
        <v/>
      </c>
    </row>
    <row r="42" customFormat="false" ht="15" hidden="false" customHeight="true" outlineLevel="0" collapsed="false">
      <c r="A42" s="22" t="n">
        <v>18</v>
      </c>
      <c r="B42" s="22" t="n">
        <f aca="false">$C$6+(A42-1)*$F$6</f>
        <v>324</v>
      </c>
      <c r="C42" s="22" t="n">
        <f aca="false">$D$6+(A42-1)*$G$6</f>
        <v>27</v>
      </c>
      <c r="D42" s="22" t="n">
        <f aca="false">$E$6+(A42-1)*$H$6</f>
        <v>57</v>
      </c>
      <c r="E42" s="25" t="n">
        <f aca="false">1-100/(100+D42)</f>
        <v>0.363057324840764</v>
      </c>
      <c r="F42" s="22" t="n">
        <f aca="false">IF(A42&lt;$M$6,50*A42,"MAX")</f>
        <v>900</v>
      </c>
      <c r="G42" s="22" t="n">
        <f aca="false">25*A42*(A42-1)</f>
        <v>7650</v>
      </c>
      <c r="H42" s="5" t="str">
        <f aca="false">IFERROR(INDEX($A$11:$A$17,MATCH(A42,$D$11:$D$17,0)),"")</f>
        <v/>
      </c>
    </row>
    <row r="43" customFormat="false" ht="15" hidden="false" customHeight="true" outlineLevel="0" collapsed="false">
      <c r="A43" s="22" t="n">
        <v>19</v>
      </c>
      <c r="B43" s="22" t="n">
        <f aca="false">$C$6+(A43-1)*$F$6</f>
        <v>336</v>
      </c>
      <c r="C43" s="22" t="n">
        <f aca="false">$D$6+(A43-1)*$G$6</f>
        <v>28</v>
      </c>
      <c r="D43" s="22" t="n">
        <f aca="false">$E$6+(A43-1)*$H$6</f>
        <v>60</v>
      </c>
      <c r="E43" s="25" t="n">
        <f aca="false">1-100/(100+D43)</f>
        <v>0.375</v>
      </c>
      <c r="F43" s="22" t="n">
        <f aca="false">IF(A43&lt;$M$6,50*A43,"MAX")</f>
        <v>950</v>
      </c>
      <c r="G43" s="22" t="n">
        <f aca="false">25*A43*(A43-1)</f>
        <v>8550</v>
      </c>
      <c r="H43" s="5" t="str">
        <f aca="false">IFERROR(INDEX($A$11:$A$17,MATCH(A43,$D$11:$D$17,0)),"")</f>
        <v/>
      </c>
    </row>
    <row r="44" customFormat="false" ht="15" hidden="false" customHeight="true" outlineLevel="0" collapsed="false">
      <c r="A44" s="22" t="n">
        <v>20</v>
      </c>
      <c r="B44" s="22" t="n">
        <f aca="false">$C$6+(A44-1)*$F$6</f>
        <v>348</v>
      </c>
      <c r="C44" s="22" t="n">
        <f aca="false">$D$6+(A44-1)*$G$6</f>
        <v>29</v>
      </c>
      <c r="D44" s="22" t="n">
        <f aca="false">$E$6+(A44-1)*$H$6</f>
        <v>63</v>
      </c>
      <c r="E44" s="25" t="n">
        <f aca="false">1-100/(100+D44)</f>
        <v>0.386503067484663</v>
      </c>
      <c r="F44" s="22" t="str">
        <f aca="false">IF(A44&lt;$M$6,50*A44,"MAX")</f>
        <v>MAX</v>
      </c>
      <c r="G44" s="22" t="n">
        <f aca="false">25*A44*(A44-1)</f>
        <v>9500</v>
      </c>
      <c r="H44" s="5" t="str">
        <f aca="false">IFERROR(INDEX($A$11:$A$17,MATCH(A44,$D$11:$D$17,0)),"")</f>
        <v>Judgement</v>
      </c>
    </row>
    <row r="46" customFormat="false" ht="15" hidden="false" customHeight="true" outlineLevel="0" collapsed="false">
      <c r="A46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1" width="12"/>
    <col collapsed="false" customWidth="true" hidden="false" outlineLevel="0" max="12" min="12" style="1" width="30"/>
    <col collapsed="false" customWidth="true" hidden="false" outlineLevel="0" max="13" min="13" style="1" width="32"/>
  </cols>
  <sheetData>
    <row r="1" customFormat="false" ht="15.75" hidden="false" customHeight="true" outlineLevel="0" collapsed="false">
      <c r="A1" s="2" t="s">
        <v>128</v>
      </c>
    </row>
    <row r="2" customFormat="false" ht="15" hidden="false" customHeight="true" outlineLevel="0" collapsed="false">
      <c r="A2" s="3" t="s">
        <v>129</v>
      </c>
    </row>
    <row r="4" customFormat="false" ht="15" hidden="false" customHeight="true" outlineLevel="0" collapsed="false">
      <c r="A4" s="19" t="s">
        <v>130</v>
      </c>
    </row>
    <row r="5" customFormat="false" ht="30" hidden="false" customHeight="true" outlineLevel="0" collapsed="false">
      <c r="A5" s="4" t="s">
        <v>131</v>
      </c>
      <c r="B5" s="4" t="s">
        <v>3</v>
      </c>
      <c r="C5" s="4" t="s">
        <v>132</v>
      </c>
      <c r="D5" s="4" t="s">
        <v>133</v>
      </c>
      <c r="E5" s="4" t="s">
        <v>134</v>
      </c>
      <c r="F5" s="4" t="s">
        <v>135</v>
      </c>
      <c r="G5" s="4" t="s">
        <v>136</v>
      </c>
      <c r="H5" s="4" t="s">
        <v>137</v>
      </c>
      <c r="I5" s="4" t="s">
        <v>138</v>
      </c>
      <c r="J5" s="4" t="s">
        <v>139</v>
      </c>
      <c r="K5" s="4" t="s">
        <v>16</v>
      </c>
      <c r="L5" s="4" t="s">
        <v>140</v>
      </c>
      <c r="M5" s="4" t="s">
        <v>141</v>
      </c>
    </row>
    <row r="6" customFormat="false" ht="39" hidden="false" customHeight="true" outlineLevel="0" collapsed="false">
      <c r="A6" s="26" t="n">
        <v>1</v>
      </c>
      <c r="B6" s="26" t="s">
        <v>18</v>
      </c>
      <c r="C6" s="26" t="s">
        <v>142</v>
      </c>
      <c r="D6" s="26" t="s">
        <v>143</v>
      </c>
      <c r="E6" s="26" t="s">
        <v>144</v>
      </c>
      <c r="F6" s="26" t="s">
        <v>145</v>
      </c>
      <c r="G6" s="26" t="s">
        <v>146</v>
      </c>
      <c r="H6" s="26" t="s">
        <v>27</v>
      </c>
      <c r="I6" s="26" t="s">
        <v>147</v>
      </c>
      <c r="J6" s="26" t="s">
        <v>148</v>
      </c>
      <c r="K6" s="27" t="s">
        <v>149</v>
      </c>
      <c r="L6" s="26" t="s">
        <v>150</v>
      </c>
      <c r="M6" s="26" t="s">
        <v>151</v>
      </c>
    </row>
    <row r="7" customFormat="false" ht="51.75" hidden="false" customHeight="true" outlineLevel="0" collapsed="false">
      <c r="A7" s="26" t="n">
        <v>2</v>
      </c>
      <c r="B7" s="26" t="s">
        <v>32</v>
      </c>
      <c r="C7" s="26" t="s">
        <v>152</v>
      </c>
      <c r="D7" s="26" t="s">
        <v>153</v>
      </c>
      <c r="E7" s="26" t="s">
        <v>154</v>
      </c>
      <c r="F7" s="26" t="s">
        <v>155</v>
      </c>
      <c r="G7" s="26" t="s">
        <v>156</v>
      </c>
      <c r="H7" s="26" t="s">
        <v>157</v>
      </c>
      <c r="I7" s="26" t="s">
        <v>158</v>
      </c>
      <c r="J7" s="26" t="s">
        <v>159</v>
      </c>
      <c r="K7" s="27" t="s">
        <v>149</v>
      </c>
      <c r="L7" s="26" t="s">
        <v>160</v>
      </c>
      <c r="M7" s="26" t="s">
        <v>161</v>
      </c>
    </row>
    <row r="8" customFormat="false" ht="39" hidden="false" customHeight="true" outlineLevel="0" collapsed="false">
      <c r="A8" s="26" t="n">
        <v>3</v>
      </c>
      <c r="B8" s="26" t="s">
        <v>162</v>
      </c>
      <c r="C8" s="26" t="s">
        <v>163</v>
      </c>
      <c r="D8" s="26" t="s">
        <v>164</v>
      </c>
      <c r="E8" s="26" t="s">
        <v>165</v>
      </c>
      <c r="F8" s="26" t="s">
        <v>166</v>
      </c>
      <c r="G8" s="26" t="s">
        <v>167</v>
      </c>
      <c r="H8" s="26" t="s">
        <v>168</v>
      </c>
      <c r="I8" s="26" t="s">
        <v>169</v>
      </c>
      <c r="J8" s="26" t="s">
        <v>170</v>
      </c>
      <c r="K8" s="28" t="s">
        <v>171</v>
      </c>
      <c r="L8" s="26" t="s">
        <v>21</v>
      </c>
      <c r="M8" s="26" t="s">
        <v>172</v>
      </c>
    </row>
    <row r="9" customFormat="false" ht="39" hidden="false" customHeight="true" outlineLevel="0" collapsed="false">
      <c r="A9" s="26" t="s">
        <v>21</v>
      </c>
      <c r="B9" s="26" t="s">
        <v>173</v>
      </c>
      <c r="C9" s="26" t="s">
        <v>174</v>
      </c>
      <c r="D9" s="26" t="s">
        <v>175</v>
      </c>
      <c r="E9" s="26" t="s">
        <v>21</v>
      </c>
      <c r="F9" s="26" t="s">
        <v>21</v>
      </c>
      <c r="G9" s="26" t="s">
        <v>176</v>
      </c>
      <c r="H9" s="26" t="s">
        <v>21</v>
      </c>
      <c r="I9" s="26" t="s">
        <v>177</v>
      </c>
      <c r="J9" s="26" t="s">
        <v>178</v>
      </c>
      <c r="K9" s="28" t="s">
        <v>171</v>
      </c>
      <c r="L9" s="26" t="s">
        <v>21</v>
      </c>
      <c r="M9" s="26" t="s">
        <v>179</v>
      </c>
    </row>
    <row r="11" customFormat="false" ht="15" hidden="false" customHeight="true" outlineLevel="0" collapsed="false">
      <c r="A11" s="19" t="s">
        <v>180</v>
      </c>
    </row>
    <row r="12" customFormat="false" ht="30" hidden="false" customHeight="true" outlineLevel="0" collapsed="false">
      <c r="A12" s="4" t="s">
        <v>131</v>
      </c>
      <c r="B12" s="4" t="s">
        <v>3</v>
      </c>
      <c r="C12" s="4" t="s">
        <v>181</v>
      </c>
      <c r="D12" s="4" t="s">
        <v>182</v>
      </c>
      <c r="E12" s="4" t="s">
        <v>183</v>
      </c>
      <c r="F12" s="4" t="s">
        <v>184</v>
      </c>
      <c r="G12" s="4" t="s">
        <v>185</v>
      </c>
      <c r="H12" s="4"/>
      <c r="I12" s="4"/>
      <c r="J12" s="4"/>
      <c r="K12" s="4" t="s">
        <v>16</v>
      </c>
    </row>
    <row r="13" customFormat="false" ht="15" hidden="false" customHeight="true" outlineLevel="0" collapsed="false">
      <c r="A13" s="26" t="n">
        <v>1</v>
      </c>
      <c r="B13" s="26" t="s">
        <v>18</v>
      </c>
      <c r="C13" s="26" t="s">
        <v>186</v>
      </c>
      <c r="D13" s="26" t="s">
        <v>19</v>
      </c>
      <c r="E13" s="26" t="s">
        <v>187</v>
      </c>
      <c r="F13" s="26" t="s">
        <v>188</v>
      </c>
      <c r="G13" s="26" t="s">
        <v>189</v>
      </c>
      <c r="H13" s="26"/>
      <c r="I13" s="26"/>
      <c r="J13" s="26"/>
      <c r="K13" s="29" t="s">
        <v>190</v>
      </c>
    </row>
    <row r="14" customFormat="false" ht="15" hidden="false" customHeight="true" outlineLevel="0" collapsed="false">
      <c r="A14" s="26" t="n">
        <v>1</v>
      </c>
      <c r="B14" s="26" t="s">
        <v>18</v>
      </c>
      <c r="C14" s="26" t="s">
        <v>186</v>
      </c>
      <c r="D14" s="26" t="s">
        <v>35</v>
      </c>
      <c r="E14" s="26" t="s">
        <v>191</v>
      </c>
      <c r="F14" s="26" t="s">
        <v>192</v>
      </c>
      <c r="G14" s="26" t="s">
        <v>193</v>
      </c>
      <c r="H14" s="26"/>
      <c r="I14" s="26"/>
      <c r="J14" s="26"/>
      <c r="K14" s="29" t="s">
        <v>190</v>
      </c>
    </row>
    <row r="15" customFormat="false" ht="26.25" hidden="false" customHeight="true" outlineLevel="0" collapsed="false">
      <c r="A15" s="26" t="n">
        <v>1</v>
      </c>
      <c r="B15" s="26" t="s">
        <v>18</v>
      </c>
      <c r="C15" s="26" t="s">
        <v>186</v>
      </c>
      <c r="D15" s="26" t="s">
        <v>26</v>
      </c>
      <c r="E15" s="26" t="s">
        <v>194</v>
      </c>
      <c r="F15" s="26" t="s">
        <v>195</v>
      </c>
      <c r="G15" s="26" t="s">
        <v>196</v>
      </c>
      <c r="H15" s="26"/>
      <c r="I15" s="26"/>
      <c r="J15" s="26"/>
      <c r="K15" s="29" t="s">
        <v>190</v>
      </c>
    </row>
    <row r="16" customFormat="false" ht="26.25" hidden="false" customHeight="true" outlineLevel="0" collapsed="false">
      <c r="A16" s="26" t="n">
        <v>1</v>
      </c>
      <c r="B16" s="26" t="s">
        <v>18</v>
      </c>
      <c r="C16" s="26" t="s">
        <v>29</v>
      </c>
      <c r="D16" s="26" t="s">
        <v>197</v>
      </c>
      <c r="E16" s="26" t="s">
        <v>27</v>
      </c>
      <c r="F16" s="26" t="s">
        <v>198</v>
      </c>
      <c r="G16" s="26" t="s">
        <v>199</v>
      </c>
      <c r="H16" s="26"/>
      <c r="I16" s="26"/>
      <c r="J16" s="26"/>
      <c r="K16" s="29" t="s">
        <v>190</v>
      </c>
    </row>
    <row r="17" customFormat="false" ht="26.25" hidden="false" customHeight="true" outlineLevel="0" collapsed="false">
      <c r="A17" s="26" t="n">
        <v>2</v>
      </c>
      <c r="B17" s="26" t="s">
        <v>32</v>
      </c>
      <c r="C17" s="26" t="s">
        <v>200</v>
      </c>
      <c r="D17" s="26" t="s">
        <v>19</v>
      </c>
      <c r="E17" s="26" t="s">
        <v>201</v>
      </c>
      <c r="F17" s="26" t="s">
        <v>202</v>
      </c>
      <c r="G17" s="26"/>
      <c r="H17" s="26"/>
      <c r="I17" s="26"/>
      <c r="J17" s="26"/>
      <c r="K17" s="29" t="s">
        <v>190</v>
      </c>
    </row>
    <row r="18" customFormat="false" ht="39" hidden="false" customHeight="true" outlineLevel="0" collapsed="false">
      <c r="A18" s="26" t="n">
        <v>2</v>
      </c>
      <c r="B18" s="26" t="s">
        <v>32</v>
      </c>
      <c r="C18" s="26" t="s">
        <v>200</v>
      </c>
      <c r="D18" s="26" t="s">
        <v>35</v>
      </c>
      <c r="E18" s="26" t="s">
        <v>203</v>
      </c>
      <c r="F18" s="26" t="s">
        <v>204</v>
      </c>
      <c r="G18" s="26"/>
      <c r="H18" s="26"/>
      <c r="I18" s="26"/>
      <c r="J18" s="26"/>
      <c r="K18" s="29" t="s">
        <v>190</v>
      </c>
    </row>
    <row r="19" customFormat="false" ht="26.25" hidden="false" customHeight="true" outlineLevel="0" collapsed="false">
      <c r="A19" s="26" t="n">
        <v>2</v>
      </c>
      <c r="B19" s="26" t="s">
        <v>32</v>
      </c>
      <c r="C19" s="26" t="s">
        <v>200</v>
      </c>
      <c r="D19" s="26" t="s">
        <v>26</v>
      </c>
      <c r="E19" s="26" t="s">
        <v>205</v>
      </c>
      <c r="F19" s="26" t="s">
        <v>204</v>
      </c>
      <c r="G19" s="26" t="s">
        <v>206</v>
      </c>
      <c r="H19" s="26"/>
      <c r="I19" s="26"/>
      <c r="J19" s="26"/>
      <c r="K19" s="29" t="s">
        <v>190</v>
      </c>
    </row>
    <row r="20" customFormat="false" ht="26.25" hidden="false" customHeight="true" outlineLevel="0" collapsed="false">
      <c r="A20" s="26" t="n">
        <v>2</v>
      </c>
      <c r="B20" s="26" t="s">
        <v>32</v>
      </c>
      <c r="C20" s="26" t="s">
        <v>207</v>
      </c>
      <c r="D20" s="26" t="s">
        <v>29</v>
      </c>
      <c r="E20" s="26" t="s">
        <v>208</v>
      </c>
      <c r="F20" s="26" t="s">
        <v>21</v>
      </c>
      <c r="G20" s="26" t="s">
        <v>209</v>
      </c>
      <c r="H20" s="26"/>
      <c r="I20" s="26"/>
      <c r="J20" s="26"/>
      <c r="K20" s="28" t="s">
        <v>210</v>
      </c>
    </row>
    <row r="21" customFormat="false" ht="26.25" hidden="false" customHeight="true" outlineLevel="0" collapsed="false">
      <c r="A21" s="26" t="n">
        <v>2</v>
      </c>
      <c r="B21" s="26" t="s">
        <v>32</v>
      </c>
      <c r="C21" s="26" t="s">
        <v>211</v>
      </c>
      <c r="D21" s="26" t="s">
        <v>29</v>
      </c>
      <c r="E21" s="26" t="s">
        <v>212</v>
      </c>
      <c r="F21" s="26" t="s">
        <v>213</v>
      </c>
      <c r="G21" s="26" t="s">
        <v>214</v>
      </c>
      <c r="H21" s="26"/>
      <c r="I21" s="26"/>
      <c r="J21" s="26"/>
      <c r="K21" s="27" t="s">
        <v>215</v>
      </c>
    </row>
    <row r="22" customFormat="false" ht="26.25" hidden="false" customHeight="true" outlineLevel="0" collapsed="false">
      <c r="A22" s="26" t="n">
        <v>2</v>
      </c>
      <c r="B22" s="26" t="s">
        <v>32</v>
      </c>
      <c r="C22" s="26" t="s">
        <v>216</v>
      </c>
      <c r="D22" s="26" t="s">
        <v>29</v>
      </c>
      <c r="E22" s="26" t="s">
        <v>217</v>
      </c>
      <c r="F22" s="26" t="s">
        <v>21</v>
      </c>
      <c r="G22" s="26" t="s">
        <v>218</v>
      </c>
      <c r="H22" s="26"/>
      <c r="I22" s="26"/>
      <c r="J22" s="26"/>
      <c r="K22" s="28" t="s">
        <v>210</v>
      </c>
    </row>
    <row r="23" customFormat="false" ht="15" hidden="false" customHeight="true" outlineLevel="0" collapsed="false">
      <c r="A23" s="26" t="n">
        <v>3</v>
      </c>
      <c r="B23" s="26" t="s">
        <v>162</v>
      </c>
      <c r="C23" s="26" t="s">
        <v>219</v>
      </c>
      <c r="D23" s="26" t="s">
        <v>4</v>
      </c>
      <c r="E23" s="26" t="s">
        <v>170</v>
      </c>
      <c r="F23" s="26" t="s">
        <v>21</v>
      </c>
      <c r="G23" s="26"/>
      <c r="H23" s="26"/>
      <c r="I23" s="26"/>
      <c r="J23" s="26"/>
      <c r="K23" s="28" t="s">
        <v>210</v>
      </c>
    </row>
    <row r="24" customFormat="false" ht="26.25" hidden="false" customHeight="true" outlineLevel="0" collapsed="false">
      <c r="A24" s="26" t="n">
        <v>3</v>
      </c>
      <c r="B24" s="26" t="s">
        <v>162</v>
      </c>
      <c r="C24" s="26" t="s">
        <v>219</v>
      </c>
      <c r="D24" s="26" t="s">
        <v>220</v>
      </c>
      <c r="E24" s="26" t="s">
        <v>221</v>
      </c>
      <c r="F24" s="26" t="s">
        <v>21</v>
      </c>
      <c r="G24" s="26" t="s">
        <v>222</v>
      </c>
      <c r="H24" s="26"/>
      <c r="I24" s="26"/>
      <c r="J24" s="26"/>
      <c r="K24" s="28" t="s">
        <v>210</v>
      </c>
    </row>
    <row r="25" customFormat="false" ht="15" hidden="false" customHeight="true" outlineLevel="0" collapsed="false">
      <c r="A25" s="26" t="n">
        <v>3</v>
      </c>
      <c r="B25" s="26" t="s">
        <v>162</v>
      </c>
      <c r="C25" s="26" t="s">
        <v>223</v>
      </c>
      <c r="D25" s="26" t="s">
        <v>4</v>
      </c>
      <c r="E25" s="26" t="s">
        <v>170</v>
      </c>
      <c r="F25" s="26" t="s">
        <v>21</v>
      </c>
      <c r="G25" s="26" t="s">
        <v>224</v>
      </c>
      <c r="H25" s="26"/>
      <c r="I25" s="26"/>
      <c r="J25" s="26"/>
      <c r="K25" s="28" t="s">
        <v>210</v>
      </c>
    </row>
    <row r="26" customFormat="false" ht="26.25" hidden="false" customHeight="true" outlineLevel="0" collapsed="false">
      <c r="A26" s="26" t="n">
        <v>3</v>
      </c>
      <c r="B26" s="26" t="s">
        <v>162</v>
      </c>
      <c r="C26" s="26" t="s">
        <v>223</v>
      </c>
      <c r="D26" s="26" t="s">
        <v>220</v>
      </c>
      <c r="E26" s="26" t="s">
        <v>225</v>
      </c>
      <c r="F26" s="26" t="s">
        <v>21</v>
      </c>
      <c r="G26" s="26"/>
      <c r="H26" s="26"/>
      <c r="I26" s="26"/>
      <c r="J26" s="26"/>
      <c r="K26" s="28" t="s">
        <v>210</v>
      </c>
    </row>
    <row r="27" customFormat="false" ht="15" hidden="false" customHeight="true" outlineLevel="0" collapsed="false">
      <c r="A27" s="26" t="n">
        <v>3</v>
      </c>
      <c r="B27" s="26" t="s">
        <v>162</v>
      </c>
      <c r="C27" s="26" t="s">
        <v>226</v>
      </c>
      <c r="D27" s="26" t="s">
        <v>4</v>
      </c>
      <c r="E27" s="26" t="s">
        <v>170</v>
      </c>
      <c r="F27" s="26" t="s">
        <v>21</v>
      </c>
      <c r="G27" s="26" t="s">
        <v>227</v>
      </c>
      <c r="H27" s="26"/>
      <c r="I27" s="26"/>
      <c r="J27" s="26"/>
      <c r="K27" s="28" t="s">
        <v>210</v>
      </c>
    </row>
    <row r="28" customFormat="false" ht="26.25" hidden="false" customHeight="true" outlineLevel="0" collapsed="false">
      <c r="A28" s="26" t="n">
        <v>3</v>
      </c>
      <c r="B28" s="26" t="s">
        <v>162</v>
      </c>
      <c r="C28" s="26" t="s">
        <v>228</v>
      </c>
      <c r="D28" s="26" t="s">
        <v>29</v>
      </c>
      <c r="E28" s="26" t="s">
        <v>229</v>
      </c>
      <c r="F28" s="26" t="s">
        <v>21</v>
      </c>
      <c r="G28" s="26" t="s">
        <v>230</v>
      </c>
      <c r="H28" s="26"/>
      <c r="I28" s="26"/>
      <c r="J28" s="26"/>
      <c r="K28" s="28" t="s">
        <v>210</v>
      </c>
    </row>
    <row r="30" customFormat="false" ht="15" hidden="false" customHeight="true" outlineLevel="0" collapsed="false">
      <c r="A30" s="19" t="s">
        <v>231</v>
      </c>
    </row>
    <row r="31" customFormat="false" ht="15" hidden="false" customHeight="true" outlineLevel="0" collapsed="false">
      <c r="A31" s="30" t="s">
        <v>232</v>
      </c>
    </row>
    <row r="32" customFormat="false" ht="15" hidden="false" customHeight="true" outlineLevel="0" collapsed="false">
      <c r="A32" s="30" t="s">
        <v>233</v>
      </c>
    </row>
    <row r="33" customFormat="false" ht="15" hidden="false" customHeight="true" outlineLevel="0" collapsed="false">
      <c r="A33" s="30" t="s">
        <v>234</v>
      </c>
    </row>
    <row r="34" customFormat="false" ht="15" hidden="false" customHeight="true" outlineLevel="0" collapsed="false">
      <c r="A34" s="30" t="s">
        <v>235</v>
      </c>
    </row>
    <row r="35" customFormat="false" ht="15" hidden="false" customHeight="true" outlineLevel="0" collapsed="false">
      <c r="A35" s="30" t="s">
        <v>236</v>
      </c>
    </row>
    <row r="36" customFormat="false" ht="15" hidden="false" customHeight="true" outlineLevel="0" collapsed="false">
      <c r="A36" s="30" t="s">
        <v>237</v>
      </c>
    </row>
    <row r="37" customFormat="false" ht="15" hidden="false" customHeight="true" outlineLevel="0" collapsed="false">
      <c r="A37" s="30" t="s">
        <v>238</v>
      </c>
    </row>
    <row r="38" customFormat="false" ht="15" hidden="false" customHeight="true" outlineLevel="0" collapsed="false">
      <c r="A38" s="30" t="s">
        <v>239</v>
      </c>
    </row>
    <row r="40" customFormat="false" ht="15" hidden="false" customHeight="true" outlineLevel="0" collapsed="false">
      <c r="A40" s="19" t="s">
        <v>240</v>
      </c>
    </row>
    <row r="41" customFormat="false" ht="30" hidden="false" customHeight="true" outlineLevel="0" collapsed="false">
      <c r="A41" s="4"/>
      <c r="B41" s="4" t="s">
        <v>241</v>
      </c>
      <c r="C41" s="4" t="s">
        <v>3</v>
      </c>
      <c r="D41" s="4" t="s">
        <v>242</v>
      </c>
      <c r="E41" s="4" t="s">
        <v>243</v>
      </c>
      <c r="F41" s="4"/>
      <c r="G41" s="4"/>
      <c r="H41" s="4"/>
      <c r="I41" s="4"/>
      <c r="J41" s="4"/>
      <c r="K41" s="4"/>
      <c r="L41" s="4"/>
    </row>
    <row r="42" customFormat="false" ht="15" hidden="false" customHeight="true" outlineLevel="0" collapsed="false">
      <c r="A42" s="26"/>
      <c r="B42" s="26" t="s">
        <v>17</v>
      </c>
      <c r="C42" s="26" t="s">
        <v>244</v>
      </c>
      <c r="D42" s="6" t="n">
        <v>5</v>
      </c>
      <c r="E42" s="6" t="n">
        <v>2</v>
      </c>
    </row>
    <row r="43" customFormat="false" ht="15" hidden="false" customHeight="true" outlineLevel="0" collapsed="false">
      <c r="A43" s="26"/>
      <c r="B43" s="26" t="s">
        <v>23</v>
      </c>
      <c r="C43" s="26" t="s">
        <v>244</v>
      </c>
      <c r="D43" s="6" t="n">
        <v>8</v>
      </c>
      <c r="E43" s="6" t="n">
        <v>3</v>
      </c>
    </row>
    <row r="44" customFormat="false" ht="15" hidden="false" customHeight="true" outlineLevel="0" collapsed="false">
      <c r="A44" s="26"/>
      <c r="B44" s="26" t="s">
        <v>25</v>
      </c>
      <c r="C44" s="26" t="s">
        <v>244</v>
      </c>
      <c r="D44" s="6" t="n">
        <v>12</v>
      </c>
      <c r="E44" s="6" t="n">
        <v>4</v>
      </c>
    </row>
    <row r="45" customFormat="false" ht="26.25" hidden="false" customHeight="true" outlineLevel="0" collapsed="false">
      <c r="A45" s="26"/>
      <c r="B45" s="26" t="s">
        <v>245</v>
      </c>
      <c r="C45" s="26" t="s">
        <v>244</v>
      </c>
      <c r="D45" s="6" t="n">
        <v>30</v>
      </c>
      <c r="E45" s="6" t="n">
        <v>50</v>
      </c>
    </row>
    <row r="46" customFormat="false" ht="15" hidden="false" customHeight="true" outlineLevel="0" collapsed="false">
      <c r="A46" s="26"/>
      <c r="B46" s="26" t="s">
        <v>31</v>
      </c>
      <c r="C46" s="26" t="s">
        <v>246</v>
      </c>
      <c r="D46" s="6" t="n">
        <v>6</v>
      </c>
      <c r="E46" s="6" t="n">
        <v>2</v>
      </c>
    </row>
    <row r="47" customFormat="false" ht="15" hidden="false" customHeight="true" outlineLevel="0" collapsed="false">
      <c r="A47" s="26"/>
      <c r="B47" s="26" t="s">
        <v>34</v>
      </c>
      <c r="C47" s="26" t="s">
        <v>246</v>
      </c>
      <c r="D47" s="6" t="n">
        <v>16</v>
      </c>
      <c r="E47" s="6" t="n">
        <v>6</v>
      </c>
    </row>
    <row r="48" customFormat="false" ht="15" hidden="false" customHeight="true" outlineLevel="0" collapsed="false">
      <c r="A48" s="26"/>
      <c r="B48" s="26" t="s">
        <v>36</v>
      </c>
      <c r="C48" s="26" t="s">
        <v>246</v>
      </c>
      <c r="D48" s="6" t="n">
        <v>14</v>
      </c>
      <c r="E48" s="6" t="n">
        <v>5</v>
      </c>
    </row>
    <row r="49" customFormat="false" ht="26.25" hidden="false" customHeight="true" outlineLevel="0" collapsed="false">
      <c r="A49" s="26"/>
      <c r="B49" s="26" t="s">
        <v>247</v>
      </c>
      <c r="C49" s="26" t="s">
        <v>246</v>
      </c>
      <c r="D49" s="6" t="n">
        <v>45</v>
      </c>
      <c r="E49" s="6" t="n">
        <v>95</v>
      </c>
    </row>
    <row r="50" customFormat="false" ht="15" hidden="false" customHeight="true" outlineLevel="0" collapsed="false">
      <c r="B50" s="19" t="s">
        <v>248</v>
      </c>
      <c r="D50" s="31" t="n">
        <f aca="false">2*D42+3*D43+D44+D45</f>
        <v>76</v>
      </c>
      <c r="E50" s="31" t="n">
        <f aca="false">2*E42+3*E43+E44+E45</f>
        <v>67</v>
      </c>
    </row>
    <row r="51" customFormat="false" ht="15" hidden="false" customHeight="true" outlineLevel="0" collapsed="false">
      <c r="B51" s="19" t="s">
        <v>249</v>
      </c>
      <c r="D51" s="31" t="n">
        <f aca="false">2*D42+3*D43+D44</f>
        <v>46</v>
      </c>
      <c r="E51" s="31" t="n">
        <f aca="false">2*E42+3*E43+E44</f>
        <v>17</v>
      </c>
    </row>
    <row r="52" customFormat="false" ht="15" hidden="false" customHeight="true" outlineLevel="0" collapsed="false">
      <c r="B52" s="19" t="s">
        <v>250</v>
      </c>
      <c r="D52" s="31" t="n">
        <f aca="false">5*D46+D47+2*D48+D49</f>
        <v>119</v>
      </c>
      <c r="E52" s="31" t="n">
        <f aca="false">5*E46+E47+2*E48+E49</f>
        <v>121</v>
      </c>
    </row>
    <row r="53" customFormat="false" ht="15" hidden="false" customHeight="true" outlineLevel="0" collapsed="false">
      <c r="B53" s="19" t="s">
        <v>251</v>
      </c>
      <c r="D53" s="31" t="n">
        <f aca="false">5*D46+D47+2*D48</f>
        <v>74</v>
      </c>
      <c r="E53" s="31" t="n">
        <f aca="false">5*E46+E47+2*E48</f>
        <v>26</v>
      </c>
    </row>
    <row r="54" customFormat="false" ht="15" hidden="false" customHeight="true" outlineLevel="0" collapsed="false">
      <c r="A54" s="3" t="s">
        <v>252</v>
      </c>
    </row>
  </sheetData>
  <mergeCells count="17"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60"/>
    <col collapsed="false" customWidth="true" hidden="false" outlineLevel="0" max="8" min="8" style="0" width="13"/>
  </cols>
  <sheetData>
    <row r="1" customFormat="false" ht="16.15" hidden="false" customHeight="false" outlineLevel="0" collapsed="false">
      <c r="A1" s="32" t="s">
        <v>253</v>
      </c>
    </row>
    <row r="2" customFormat="false" ht="15" hidden="false" customHeight="false" outlineLevel="0" collapsed="false">
      <c r="A2" s="33" t="s">
        <v>254</v>
      </c>
    </row>
    <row r="4" customFormat="false" ht="15" hidden="false" customHeight="false" outlineLevel="0" collapsed="false">
      <c r="A4" s="34" t="s">
        <v>255</v>
      </c>
      <c r="B4" s="34" t="s">
        <v>256</v>
      </c>
      <c r="C4" s="34" t="s">
        <v>257</v>
      </c>
      <c r="D4" s="34" t="s">
        <v>258</v>
      </c>
      <c r="E4" s="34" t="s">
        <v>259</v>
      </c>
      <c r="F4" s="34" t="s">
        <v>260</v>
      </c>
      <c r="G4" s="34" t="s">
        <v>48</v>
      </c>
      <c r="H4" s="34" t="s">
        <v>16</v>
      </c>
    </row>
    <row r="5" customFormat="false" ht="15" hidden="false" customHeight="false" outlineLevel="0" collapsed="false">
      <c r="A5" s="35" t="n">
        <v>1</v>
      </c>
      <c r="B5" s="26" t="s">
        <v>261</v>
      </c>
      <c r="C5" s="26" t="s">
        <v>71</v>
      </c>
      <c r="D5" s="26" t="s">
        <v>262</v>
      </c>
      <c r="E5" s="35" t="s">
        <v>263</v>
      </c>
      <c r="F5" s="35" t="s">
        <v>21</v>
      </c>
      <c r="G5" s="26" t="s">
        <v>264</v>
      </c>
      <c r="H5" s="36" t="s">
        <v>265</v>
      </c>
    </row>
    <row r="6" customFormat="false" ht="26.85" hidden="false" customHeight="false" outlineLevel="0" collapsed="false">
      <c r="A6" s="35" t="n">
        <v>2</v>
      </c>
      <c r="B6" s="26" t="s">
        <v>266</v>
      </c>
      <c r="C6" s="26" t="s">
        <v>109</v>
      </c>
      <c r="D6" s="26" t="s">
        <v>262</v>
      </c>
      <c r="E6" s="35" t="s">
        <v>263</v>
      </c>
      <c r="F6" s="35" t="s">
        <v>21</v>
      </c>
      <c r="G6" s="26" t="s">
        <v>267</v>
      </c>
      <c r="H6" s="36" t="s">
        <v>265</v>
      </c>
    </row>
    <row r="7" customFormat="false" ht="15" hidden="false" customHeight="false" outlineLevel="0" collapsed="false">
      <c r="A7" s="35" t="n">
        <v>3</v>
      </c>
      <c r="B7" s="26" t="s">
        <v>268</v>
      </c>
      <c r="C7" s="26" t="s">
        <v>71</v>
      </c>
      <c r="D7" s="26" t="s">
        <v>262</v>
      </c>
      <c r="E7" s="35" t="s">
        <v>263</v>
      </c>
      <c r="F7" s="35" t="s">
        <v>19</v>
      </c>
      <c r="G7" s="26" t="s">
        <v>269</v>
      </c>
      <c r="H7" s="37" t="s">
        <v>171</v>
      </c>
    </row>
    <row r="8" customFormat="false" ht="26.85" hidden="false" customHeight="false" outlineLevel="0" collapsed="false">
      <c r="A8" s="35" t="n">
        <v>4</v>
      </c>
      <c r="B8" s="26" t="s">
        <v>270</v>
      </c>
      <c r="C8" s="26" t="s">
        <v>71</v>
      </c>
      <c r="D8" s="26" t="s">
        <v>262</v>
      </c>
      <c r="E8" s="35" t="s">
        <v>156</v>
      </c>
      <c r="F8" s="35" t="s">
        <v>26</v>
      </c>
      <c r="G8" s="26" t="s">
        <v>271</v>
      </c>
      <c r="H8" s="37" t="s">
        <v>171</v>
      </c>
    </row>
    <row r="9" customFormat="false" ht="15" hidden="false" customHeight="false" outlineLevel="0" collapsed="false">
      <c r="A9" s="35" t="n">
        <v>5</v>
      </c>
      <c r="B9" s="26" t="s">
        <v>272</v>
      </c>
      <c r="C9" s="26" t="s">
        <v>71</v>
      </c>
      <c r="D9" s="26" t="s">
        <v>273</v>
      </c>
      <c r="E9" s="35" t="s">
        <v>263</v>
      </c>
      <c r="F9" s="35" t="s">
        <v>197</v>
      </c>
      <c r="G9" s="26" t="s">
        <v>274</v>
      </c>
      <c r="H9" s="37" t="s">
        <v>171</v>
      </c>
    </row>
    <row r="10" customFormat="false" ht="15" hidden="false" customHeight="false" outlineLevel="0" collapsed="false">
      <c r="A10" s="35" t="n">
        <v>6</v>
      </c>
      <c r="B10" s="26" t="s">
        <v>275</v>
      </c>
      <c r="C10" s="26" t="s">
        <v>244</v>
      </c>
      <c r="D10" s="26" t="s">
        <v>262</v>
      </c>
      <c r="E10" s="35" t="s">
        <v>263</v>
      </c>
      <c r="F10" s="35" t="s">
        <v>21</v>
      </c>
      <c r="G10" s="26" t="s">
        <v>276</v>
      </c>
      <c r="H10" s="37" t="s">
        <v>171</v>
      </c>
    </row>
    <row r="11" customFormat="false" ht="26.85" hidden="false" customHeight="false" outlineLevel="0" collapsed="false">
      <c r="A11" s="35" t="n">
        <v>7</v>
      </c>
      <c r="B11" s="26" t="s">
        <v>277</v>
      </c>
      <c r="C11" s="26" t="s">
        <v>278</v>
      </c>
      <c r="D11" s="26" t="s">
        <v>273</v>
      </c>
      <c r="E11" s="35" t="s">
        <v>263</v>
      </c>
      <c r="F11" s="35" t="s">
        <v>21</v>
      </c>
      <c r="G11" s="26" t="s">
        <v>279</v>
      </c>
      <c r="H11" s="37" t="s">
        <v>171</v>
      </c>
    </row>
    <row r="12" customFormat="false" ht="26.85" hidden="false" customHeight="false" outlineLevel="0" collapsed="false">
      <c r="A12" s="35" t="n">
        <v>8</v>
      </c>
      <c r="B12" s="26" t="s">
        <v>280</v>
      </c>
      <c r="C12" s="26" t="s">
        <v>244</v>
      </c>
      <c r="D12" s="26" t="s">
        <v>281</v>
      </c>
      <c r="E12" s="35" t="s">
        <v>263</v>
      </c>
      <c r="F12" s="35" t="s">
        <v>21</v>
      </c>
      <c r="G12" s="26" t="s">
        <v>282</v>
      </c>
      <c r="H12" s="38" t="s">
        <v>283</v>
      </c>
    </row>
    <row r="13" customFormat="false" ht="26.85" hidden="false" customHeight="false" outlineLevel="0" collapsed="false">
      <c r="A13" s="35" t="n">
        <v>9</v>
      </c>
      <c r="B13" s="26" t="s">
        <v>284</v>
      </c>
      <c r="C13" s="26" t="s">
        <v>162</v>
      </c>
      <c r="D13" s="26" t="s">
        <v>285</v>
      </c>
      <c r="E13" s="35" t="s">
        <v>156</v>
      </c>
      <c r="F13" s="35" t="s">
        <v>21</v>
      </c>
      <c r="G13" s="26" t="s">
        <v>286</v>
      </c>
      <c r="H13" s="37" t="s">
        <v>171</v>
      </c>
    </row>
    <row r="14" customFormat="false" ht="15" hidden="false" customHeight="false" outlineLevel="0" collapsed="false">
      <c r="A14" s="35" t="n">
        <v>10</v>
      </c>
      <c r="B14" s="26" t="s">
        <v>287</v>
      </c>
      <c r="C14" s="26" t="s">
        <v>246</v>
      </c>
      <c r="D14" s="26" t="s">
        <v>262</v>
      </c>
      <c r="E14" s="35" t="s">
        <v>156</v>
      </c>
      <c r="F14" s="35" t="s">
        <v>21</v>
      </c>
      <c r="G14" s="26" t="s">
        <v>288</v>
      </c>
      <c r="H14" s="37" t="s">
        <v>171</v>
      </c>
    </row>
    <row r="15" customFormat="false" ht="26.85" hidden="false" customHeight="false" outlineLevel="0" collapsed="false">
      <c r="A15" s="35" t="n">
        <v>11</v>
      </c>
      <c r="B15" s="26" t="s">
        <v>289</v>
      </c>
      <c r="C15" s="26" t="s">
        <v>246</v>
      </c>
      <c r="D15" s="26" t="s">
        <v>290</v>
      </c>
      <c r="E15" s="35" t="s">
        <v>156</v>
      </c>
      <c r="F15" s="35" t="s">
        <v>188</v>
      </c>
      <c r="G15" s="26" t="s">
        <v>291</v>
      </c>
      <c r="H15" s="37" t="s">
        <v>171</v>
      </c>
    </row>
    <row r="16" customFormat="false" ht="26.85" hidden="false" customHeight="false" outlineLevel="0" collapsed="false">
      <c r="A16" s="35" t="n">
        <v>12</v>
      </c>
      <c r="B16" s="26" t="s">
        <v>292</v>
      </c>
      <c r="C16" s="26" t="s">
        <v>109</v>
      </c>
      <c r="D16" s="26" t="s">
        <v>262</v>
      </c>
      <c r="E16" s="35" t="s">
        <v>293</v>
      </c>
      <c r="F16" s="35" t="s">
        <v>21</v>
      </c>
      <c r="G16" s="26" t="s">
        <v>294</v>
      </c>
      <c r="H16" s="37" t="s">
        <v>171</v>
      </c>
    </row>
    <row r="17" customFormat="false" ht="26.85" hidden="false" customHeight="false" outlineLevel="0" collapsed="false">
      <c r="A17" s="35" t="n">
        <v>13</v>
      </c>
      <c r="B17" s="26" t="s">
        <v>295</v>
      </c>
      <c r="C17" s="26" t="s">
        <v>296</v>
      </c>
      <c r="D17" s="26" t="s">
        <v>262</v>
      </c>
      <c r="E17" s="35" t="s">
        <v>156</v>
      </c>
      <c r="F17" s="35" t="s">
        <v>297</v>
      </c>
      <c r="G17" s="26" t="s">
        <v>298</v>
      </c>
      <c r="H17" s="37" t="s">
        <v>171</v>
      </c>
    </row>
    <row r="18" customFormat="false" ht="26.85" hidden="false" customHeight="false" outlineLevel="0" collapsed="false">
      <c r="A18" s="35" t="n">
        <v>14</v>
      </c>
      <c r="B18" s="26" t="s">
        <v>299</v>
      </c>
      <c r="C18" s="26" t="s">
        <v>296</v>
      </c>
      <c r="D18" s="26" t="s">
        <v>262</v>
      </c>
      <c r="E18" s="35" t="s">
        <v>300</v>
      </c>
      <c r="F18" s="35" t="s">
        <v>21</v>
      </c>
      <c r="G18" s="26" t="s">
        <v>301</v>
      </c>
      <c r="H18" s="37" t="s">
        <v>171</v>
      </c>
    </row>
    <row r="19" customFormat="false" ht="15" hidden="false" customHeight="false" outlineLevel="0" collapsed="false">
      <c r="A19" s="35" t="n">
        <v>15</v>
      </c>
      <c r="B19" s="26" t="s">
        <v>302</v>
      </c>
      <c r="C19" s="26" t="s">
        <v>109</v>
      </c>
      <c r="D19" s="26" t="s">
        <v>262</v>
      </c>
      <c r="E19" s="35" t="s">
        <v>156</v>
      </c>
      <c r="F19" s="35" t="s">
        <v>297</v>
      </c>
      <c r="G19" s="26" t="s">
        <v>303</v>
      </c>
      <c r="H19" s="37" t="s">
        <v>171</v>
      </c>
    </row>
    <row r="20" customFormat="false" ht="15" hidden="false" customHeight="false" outlineLevel="0" collapsed="false">
      <c r="A20" s="35" t="n">
        <v>16</v>
      </c>
      <c r="B20" s="26" t="s">
        <v>304</v>
      </c>
      <c r="C20" s="26" t="s">
        <v>109</v>
      </c>
      <c r="D20" s="26" t="s">
        <v>262</v>
      </c>
      <c r="E20" s="35" t="s">
        <v>156</v>
      </c>
      <c r="F20" s="35" t="s">
        <v>21</v>
      </c>
      <c r="G20" s="26" t="s">
        <v>305</v>
      </c>
      <c r="H20" s="37" t="s">
        <v>171</v>
      </c>
    </row>
  </sheetData>
  <autoFilter ref="A4:H20"/>
  <conditionalFormatting sqref="H5:H20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"In progress"</formula>
    </cfRule>
    <cfRule type="cellIs" priority="4" operator="equal" aboveAverage="0" equalAverage="0" bottom="0" percent="0" rank="0" text="" dxfId="8">
      <formula>"Not started"</formula>
    </cfRule>
    <cfRule type="cellIs" priority="5" operator="equal" aboveAverage="0" equalAverage="0" bottom="0" percent="0" rank="0" text="" dxfId="9">
      <formula>"Undecided"</formula>
    </cfRule>
  </conditionalFormatting>
  <dataValidations count="1">
    <dataValidation allowBlank="true" errorStyle="stop" operator="between" showDropDown="false" showErrorMessage="false" showInputMessage="false" sqref="H5:H20" type="list">
      <formula1>"Done,In progress,Not started,Undecided"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7"/>
    <col collapsed="false" customWidth="true" hidden="false" outlineLevel="0" max="5" min="5" style="1" width="22"/>
    <col collapsed="false" customWidth="true" hidden="false" outlineLevel="0" max="6" min="6" style="1" width="62"/>
  </cols>
  <sheetData>
    <row r="1" customFormat="false" ht="15.75" hidden="false" customHeight="true" outlineLevel="0" collapsed="false">
      <c r="A1" s="2" t="s">
        <v>306</v>
      </c>
    </row>
    <row r="2" customFormat="false" ht="15" hidden="false" customHeight="true" outlineLevel="0" collapsed="false">
      <c r="A2" s="3" t="s">
        <v>307</v>
      </c>
    </row>
    <row r="4" customFormat="false" ht="31.5" hidden="false" customHeight="true" outlineLevel="0" collapsed="false">
      <c r="A4" s="4" t="s">
        <v>308</v>
      </c>
      <c r="B4" s="4" t="s">
        <v>309</v>
      </c>
      <c r="C4" s="4" t="s">
        <v>310</v>
      </c>
      <c r="D4" s="4" t="s">
        <v>311</v>
      </c>
      <c r="E4" s="4" t="s">
        <v>312</v>
      </c>
      <c r="F4" s="4" t="s">
        <v>313</v>
      </c>
    </row>
    <row r="5" customFormat="false" ht="15" hidden="false" customHeight="true" outlineLevel="0" collapsed="false">
      <c r="A5" s="5" t="s">
        <v>7</v>
      </c>
      <c r="B5" s="39" t="n">
        <v>0.5</v>
      </c>
      <c r="C5" s="40" t="n">
        <v>1</v>
      </c>
      <c r="D5" s="6" t="n">
        <v>1</v>
      </c>
      <c r="E5" s="5" t="s">
        <v>314</v>
      </c>
      <c r="F5" s="5" t="s">
        <v>315</v>
      </c>
    </row>
    <row r="6" customFormat="false" ht="15" hidden="false" customHeight="true" outlineLevel="0" collapsed="false">
      <c r="A6" s="5" t="s">
        <v>316</v>
      </c>
      <c r="B6" s="39" t="n">
        <v>0.2</v>
      </c>
      <c r="C6" s="40" t="n">
        <v>0</v>
      </c>
      <c r="D6" s="6" t="n">
        <v>0</v>
      </c>
      <c r="E6" s="5" t="s">
        <v>314</v>
      </c>
      <c r="F6" s="5" t="s">
        <v>317</v>
      </c>
    </row>
    <row r="7" customFormat="false" ht="15" hidden="false" customHeight="true" outlineLevel="0" collapsed="false">
      <c r="A7" s="5" t="s">
        <v>318</v>
      </c>
      <c r="B7" s="39" t="n">
        <v>0.2</v>
      </c>
      <c r="C7" s="40" t="n">
        <v>1.5</v>
      </c>
      <c r="D7" s="6" t="n">
        <v>1</v>
      </c>
      <c r="E7" s="5" t="s">
        <v>314</v>
      </c>
      <c r="F7" s="5" t="s">
        <v>319</v>
      </c>
    </row>
    <row r="8" customFormat="false" ht="15" hidden="false" customHeight="true" outlineLevel="0" collapsed="false">
      <c r="A8" s="5" t="s">
        <v>320</v>
      </c>
      <c r="B8" s="39" t="n">
        <v>0.1</v>
      </c>
      <c r="C8" s="40" t="n">
        <v>0</v>
      </c>
      <c r="D8" s="6" t="n">
        <v>0</v>
      </c>
      <c r="E8" s="5" t="s">
        <v>321</v>
      </c>
      <c r="F8" s="5" t="s">
        <v>322</v>
      </c>
    </row>
    <row r="9" customFormat="false" ht="15" hidden="false" customHeight="true" outlineLevel="0" collapsed="false">
      <c r="A9" s="5" t="s">
        <v>323</v>
      </c>
      <c r="B9" s="9" t="s">
        <v>21</v>
      </c>
      <c r="C9" s="40" t="n">
        <v>2.2</v>
      </c>
      <c r="D9" s="6" t="n">
        <v>1</v>
      </c>
      <c r="E9" s="5" t="s">
        <v>324</v>
      </c>
      <c r="F9" s="5" t="s">
        <v>325</v>
      </c>
    </row>
    <row r="11" customFormat="false" ht="15" hidden="false" customHeight="true" outlineLevel="0" collapsed="false">
      <c r="A11" s="19" t="s">
        <v>326</v>
      </c>
      <c r="B11" s="41" t="n">
        <f aca="false">SUM(B5:B8)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7"/>
    <col collapsed="false" customWidth="true" hidden="false" outlineLevel="0" max="8" min="6" style="1" width="12"/>
    <col collapsed="false" customWidth="true" hidden="false" outlineLevel="0" max="9" min="9" style="1" width="15"/>
    <col collapsed="false" customWidth="true" hidden="false" outlineLevel="0" max="10" min="10" style="1" width="46"/>
  </cols>
  <sheetData>
    <row r="1" customFormat="false" ht="15.75" hidden="false" customHeight="true" outlineLevel="0" collapsed="false">
      <c r="A1" s="2" t="s">
        <v>327</v>
      </c>
    </row>
    <row r="2" customFormat="false" ht="15" hidden="false" customHeight="true" outlineLevel="0" collapsed="false">
      <c r="A2" s="3" t="s">
        <v>328</v>
      </c>
    </row>
    <row r="4" customFormat="false" ht="31.5" hidden="false" customHeight="true" outlineLevel="0" collapsed="false">
      <c r="A4" s="4" t="s">
        <v>29</v>
      </c>
      <c r="B4" s="4" t="s">
        <v>308</v>
      </c>
      <c r="C4" s="4" t="s">
        <v>309</v>
      </c>
      <c r="D4" s="4" t="s">
        <v>310</v>
      </c>
      <c r="E4" s="4" t="s">
        <v>311</v>
      </c>
      <c r="F4" s="4" t="s">
        <v>329</v>
      </c>
      <c r="G4" s="4" t="s">
        <v>330</v>
      </c>
      <c r="H4" s="4" t="s">
        <v>331</v>
      </c>
      <c r="I4" s="4" t="s">
        <v>332</v>
      </c>
      <c r="J4" s="4" t="s">
        <v>333</v>
      </c>
    </row>
    <row r="5" customFormat="false" ht="15" hidden="false" customHeight="true" outlineLevel="0" collapsed="false">
      <c r="A5" s="5" t="s">
        <v>27</v>
      </c>
      <c r="B5" s="5" t="s">
        <v>30</v>
      </c>
      <c r="C5" s="39" t="n">
        <v>0.25</v>
      </c>
      <c r="D5" s="40" t="n">
        <v>1.25</v>
      </c>
      <c r="E5" s="6" t="n">
        <v>2</v>
      </c>
      <c r="F5" s="42" t="n">
        <f aca="false">D5*E5</f>
        <v>2.5</v>
      </c>
      <c r="G5" s="43" t="n">
        <f aca="false">INDEX(Monsters!$F$5:$F$17,MATCH(A5,Monsters!$A$5:$A$17,0))</f>
        <v>12</v>
      </c>
      <c r="H5" s="8" t="n">
        <f aca="false">ROUND(G5*F5,0)</f>
        <v>30</v>
      </c>
      <c r="I5" s="8" t="n">
        <f aca="false">ROUND(INDEX(Monsters!$M$5:$M$17,MATCH(A5,Monsters!$A$5:$A$17,0))*F5,0)</f>
        <v>60</v>
      </c>
      <c r="J5" s="5" t="s">
        <v>334</v>
      </c>
    </row>
    <row r="6" customFormat="false" ht="15" hidden="false" customHeight="true" outlineLevel="0" collapsed="false">
      <c r="A6" s="5" t="s">
        <v>37</v>
      </c>
      <c r="B6" s="5" t="s">
        <v>335</v>
      </c>
      <c r="C6" s="39" t="n">
        <v>0.2</v>
      </c>
      <c r="D6" s="40" t="n">
        <v>2.25</v>
      </c>
      <c r="E6" s="6" t="n">
        <v>1</v>
      </c>
      <c r="F6" s="42" t="n">
        <f aca="false">D6*E6</f>
        <v>2.25</v>
      </c>
      <c r="G6" s="43" t="n">
        <f aca="false">INDEX(Monsters!$F$5:$F$17,MATCH(A6,Monsters!$A$5:$A$17,0))</f>
        <v>10</v>
      </c>
      <c r="H6" s="8" t="n">
        <f aca="false">ROUND(G6*F6,0)</f>
        <v>23</v>
      </c>
      <c r="I6" s="8" t="n">
        <f aca="false">ROUND(INDEX(Monsters!$M$5:$M$17,MATCH(A6,Monsters!$A$5:$A$17,0))*F6,0)</f>
        <v>34</v>
      </c>
      <c r="J6" s="5" t="s">
        <v>336</v>
      </c>
    </row>
    <row r="7" customFormat="false" ht="15" hidden="false" customHeight="true" outlineLevel="0" collapsed="false">
      <c r="A7" s="5" t="s">
        <v>37</v>
      </c>
      <c r="B7" s="5" t="s">
        <v>337</v>
      </c>
      <c r="C7" s="39" t="n">
        <v>0.15</v>
      </c>
      <c r="D7" s="40" t="n">
        <v>0.8</v>
      </c>
      <c r="E7" s="6" t="n">
        <v>2</v>
      </c>
      <c r="F7" s="42" t="n">
        <f aca="false">D7*E7</f>
        <v>1.6</v>
      </c>
      <c r="G7" s="43" t="n">
        <f aca="false">INDEX(Monsters!$F$5:$F$17,MATCH(A7,Monsters!$A$5:$A$17,0))</f>
        <v>10</v>
      </c>
      <c r="H7" s="8" t="n">
        <f aca="false">ROUND(G7*F7,0)</f>
        <v>16</v>
      </c>
      <c r="I7" s="8" t="n">
        <f aca="false">ROUND(INDEX(Monsters!$M$5:$M$17,MATCH(A7,Monsters!$A$5:$A$17,0))*F7,0)</f>
        <v>24</v>
      </c>
      <c r="J7" s="5" t="s">
        <v>338</v>
      </c>
    </row>
    <row r="8" customFormat="false" ht="15" hidden="false" customHeight="true" outlineLevel="0" collapsed="false">
      <c r="A8" s="5" t="s">
        <v>44</v>
      </c>
      <c r="B8" s="5" t="s">
        <v>45</v>
      </c>
      <c r="C8" s="39" t="n">
        <v>0.2</v>
      </c>
      <c r="D8" s="40" t="n">
        <v>2.5</v>
      </c>
      <c r="E8" s="6" t="n">
        <v>1</v>
      </c>
      <c r="F8" s="42" t="n">
        <f aca="false">D8*E8</f>
        <v>2.5</v>
      </c>
      <c r="G8" s="43" t="n">
        <f aca="false">INDEX(Monsters!$F$5:$F$17,MATCH(A8,Monsters!$A$5:$A$17,0))</f>
        <v>34</v>
      </c>
      <c r="H8" s="8" t="n">
        <f aca="false">ROUND(G8*F8,0)</f>
        <v>85</v>
      </c>
      <c r="I8" s="8" t="n">
        <f aca="false">ROUND(INDEX(Monsters!$M$5:$M$17,MATCH(A8,Monsters!$A$5:$A$17,0))*F8,0)</f>
        <v>119</v>
      </c>
      <c r="J8" s="5" t="s">
        <v>339</v>
      </c>
    </row>
    <row r="9" customFormat="false" ht="15" hidden="false" customHeight="true" outlineLevel="0" collapsed="false">
      <c r="A9" s="5" t="s">
        <v>46</v>
      </c>
      <c r="B9" s="5" t="s">
        <v>340</v>
      </c>
      <c r="C9" s="39" t="n">
        <v>0.15</v>
      </c>
      <c r="D9" s="40" t="n">
        <v>3</v>
      </c>
      <c r="E9" s="6" t="n">
        <v>1</v>
      </c>
      <c r="F9" s="42" t="n">
        <f aca="false">D9*E9</f>
        <v>3</v>
      </c>
      <c r="G9" s="43" t="n">
        <f aca="false">INDEX(Monsters!$F$5:$F$17,MATCH(A9,Monsters!$A$5:$A$17,0))</f>
        <v>42</v>
      </c>
      <c r="H9" s="8" t="n">
        <f aca="false">ROUND(G9*F9,0)</f>
        <v>126</v>
      </c>
      <c r="I9" s="8" t="n">
        <f aca="false">ROUND(INDEX(Monsters!$M$5:$M$17,MATCH(A9,Monsters!$A$5:$A$17,0))*F9,0)</f>
        <v>189</v>
      </c>
      <c r="J9" s="5" t="s">
        <v>341</v>
      </c>
    </row>
    <row r="10" customFormat="false" ht="15" hidden="false" customHeight="true" outlineLevel="0" collapsed="false">
      <c r="A10" s="5" t="s">
        <v>46</v>
      </c>
      <c r="B10" s="5" t="s">
        <v>342</v>
      </c>
      <c r="C10" s="39" t="n">
        <v>0.15</v>
      </c>
      <c r="D10" s="40" t="n">
        <v>0.9</v>
      </c>
      <c r="E10" s="6" t="n">
        <v>2</v>
      </c>
      <c r="F10" s="42" t="n">
        <f aca="false">D10*E10</f>
        <v>1.8</v>
      </c>
      <c r="G10" s="43" t="n">
        <f aca="false">INDEX(Monsters!$F$5:$F$17,MATCH(A10,Monsters!$A$5:$A$17,0))</f>
        <v>42</v>
      </c>
      <c r="H10" s="8" t="n">
        <f aca="false">ROUND(G10*F10,0)</f>
        <v>76</v>
      </c>
      <c r="I10" s="8" t="n">
        <f aca="false">ROUND(INDEX(Monsters!$M$5:$M$17,MATCH(A10,Monsters!$A$5:$A$17,0))*F10,0)</f>
        <v>113</v>
      </c>
      <c r="J10" s="5" t="s">
        <v>338</v>
      </c>
    </row>
    <row r="11" customFormat="false" ht="15" hidden="false" customHeight="true" outlineLevel="0" collapsed="false">
      <c r="A11" s="5" t="s">
        <v>46</v>
      </c>
      <c r="B11" s="5" t="s">
        <v>343</v>
      </c>
      <c r="C11" s="39" t="n">
        <v>0.1</v>
      </c>
      <c r="D11" s="40" t="n">
        <v>1.4</v>
      </c>
      <c r="E11" s="6" t="n">
        <v>1</v>
      </c>
      <c r="F11" s="42" t="n">
        <f aca="false">D11*E11</f>
        <v>1.4</v>
      </c>
      <c r="G11" s="43" t="n">
        <f aca="false">INDEX(Monsters!$F$5:$F$17,MATCH(A11,Monsters!$A$5:$A$17,0))</f>
        <v>42</v>
      </c>
      <c r="H11" s="8" t="n">
        <f aca="false">ROUND(G11*F11,0)</f>
        <v>59</v>
      </c>
      <c r="I11" s="8" t="n">
        <f aca="false">ROUND(INDEX(Monsters!$M$5:$M$17,MATCH(A11,Monsters!$A$5:$A$17,0))*F11,0)</f>
        <v>88</v>
      </c>
      <c r="J11" s="5" t="s">
        <v>344</v>
      </c>
    </row>
    <row r="13" customFormat="false" ht="15" hidden="false" customHeight="true" outlineLevel="0" collapsed="false">
      <c r="A13" s="3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7" min="6" style="1" width="15"/>
    <col collapsed="false" customWidth="true" hidden="false" outlineLevel="0" max="8" min="8" style="1" width="19"/>
  </cols>
  <sheetData>
    <row r="1" customFormat="false" ht="15.75" hidden="false" customHeight="true" outlineLevel="0" collapsed="false">
      <c r="A1" s="2" t="s">
        <v>346</v>
      </c>
    </row>
    <row r="2" customFormat="false" ht="15" hidden="false" customHeight="true" outlineLevel="0" collapsed="false">
      <c r="A2" s="3" t="s">
        <v>347</v>
      </c>
    </row>
    <row r="4" customFormat="false" ht="31.5" hidden="false" customHeight="true" outlineLevel="0" collapsed="false">
      <c r="A4" s="4" t="s">
        <v>2</v>
      </c>
      <c r="B4" s="4" t="s">
        <v>7</v>
      </c>
      <c r="C4" s="4" t="s">
        <v>348</v>
      </c>
      <c r="D4" s="4" t="s">
        <v>349</v>
      </c>
      <c r="E4" s="4" t="s">
        <v>350</v>
      </c>
      <c r="F4" s="4" t="s">
        <v>14</v>
      </c>
      <c r="G4" s="4" t="s">
        <v>351</v>
      </c>
      <c r="H4" s="4" t="s">
        <v>352</v>
      </c>
    </row>
    <row r="5" customFormat="false" ht="15" hidden="false" customHeight="true" outlineLevel="0" collapsed="false">
      <c r="A5" s="44" t="str">
        <f aca="false">Monsters!A5</f>
        <v>Mutated Tadpole</v>
      </c>
      <c r="B5" s="43" t="n">
        <f aca="false">Monsters!F5</f>
        <v>4</v>
      </c>
      <c r="C5" s="8" t="n">
        <f aca="false">ROUND(B5*'Base Moves'!$C$5,0)</f>
        <v>4</v>
      </c>
      <c r="D5" s="8" t="n">
        <f aca="false">ROUND(B5*'Base Moves'!$C$7,0)</f>
        <v>6</v>
      </c>
      <c r="E5" s="8" t="n">
        <f aca="false">ROUND(B5*'Base Moves'!$C$9,0)</f>
        <v>9</v>
      </c>
      <c r="F5" s="8" t="str">
        <f aca="false">IF(Monsters!D5="Boss",ROUND(Monsters!M5,0),"-")</f>
        <v>-</v>
      </c>
      <c r="G5" s="8" t="str">
        <f aca="false">IF(Monsters!D5="Boss",ROUND(Monsters!M5*'Base Moves'!$C$7,0),"-")</f>
        <v>-</v>
      </c>
      <c r="H5" s="8" t="str">
        <f aca="false">IF(Monsters!D5="Boss",ROUND(Monsters!M5*'Base Moves'!$C$9,0),"-")</f>
        <v>-</v>
      </c>
    </row>
    <row r="6" customFormat="false" ht="15" hidden="false" customHeight="true" outlineLevel="0" collapsed="false">
      <c r="A6" s="44" t="str">
        <f aca="false">Monsters!A6</f>
        <v>Mutated Frog</v>
      </c>
      <c r="B6" s="43" t="n">
        <f aca="false">Monsters!F6</f>
        <v>4</v>
      </c>
      <c r="C6" s="8" t="n">
        <f aca="false">ROUND(B6*'Base Moves'!$C$5,0)</f>
        <v>4</v>
      </c>
      <c r="D6" s="8" t="n">
        <f aca="false">ROUND(B6*'Base Moves'!$C$7,0)</f>
        <v>6</v>
      </c>
      <c r="E6" s="8" t="n">
        <f aca="false">ROUND(B6*'Base Moves'!$C$9,0)</f>
        <v>9</v>
      </c>
      <c r="F6" s="8" t="str">
        <f aca="false">IF(Monsters!D6="Boss",ROUND(Monsters!M6,0),"-")</f>
        <v>-</v>
      </c>
      <c r="G6" s="8" t="str">
        <f aca="false">IF(Monsters!D6="Boss",ROUND(Monsters!M6*'Base Moves'!$C$7,0),"-")</f>
        <v>-</v>
      </c>
      <c r="H6" s="8" t="str">
        <f aca="false">IF(Monsters!D6="Boss",ROUND(Monsters!M6*'Base Moves'!$C$9,0),"-")</f>
        <v>-</v>
      </c>
    </row>
    <row r="7" customFormat="false" ht="15" hidden="false" customHeight="true" outlineLevel="0" collapsed="false">
      <c r="A7" s="44" t="str">
        <f aca="false">Monsters!A7</f>
        <v>Mutated Boar</v>
      </c>
      <c r="B7" s="43" t="n">
        <f aca="false">Monsters!F7</f>
        <v>12</v>
      </c>
      <c r="C7" s="8" t="n">
        <f aca="false">ROUND(B7*'Base Moves'!$C$5,0)</f>
        <v>12</v>
      </c>
      <c r="D7" s="8" t="n">
        <f aca="false">ROUND(B7*'Base Moves'!$C$7,0)</f>
        <v>18</v>
      </c>
      <c r="E7" s="8" t="n">
        <f aca="false">ROUND(B7*'Base Moves'!$C$9,0)</f>
        <v>26</v>
      </c>
      <c r="F7" s="8" t="str">
        <f aca="false">IF(Monsters!D7="Boss",ROUND(Monsters!M7,0),"-")</f>
        <v>-</v>
      </c>
      <c r="G7" s="8" t="str">
        <f aca="false">IF(Monsters!D7="Boss",ROUND(Monsters!M7*'Base Moves'!$C$7,0),"-")</f>
        <v>-</v>
      </c>
      <c r="H7" s="8" t="str">
        <f aca="false">IF(Monsters!D7="Boss",ROUND(Monsters!M7*'Base Moves'!$C$9,0),"-")</f>
        <v>-</v>
      </c>
    </row>
    <row r="8" customFormat="false" ht="15" hidden="false" customHeight="true" outlineLevel="0" collapsed="false">
      <c r="A8" s="45" t="str">
        <f aca="false">Monsters!A8</f>
        <v>Mutated Cheetah</v>
      </c>
      <c r="B8" s="46" t="n">
        <f aca="false">Monsters!F8</f>
        <v>12</v>
      </c>
      <c r="C8" s="15" t="n">
        <f aca="false">ROUND(B8*'Base Moves'!$C$5,0)</f>
        <v>12</v>
      </c>
      <c r="D8" s="15" t="n">
        <f aca="false">ROUND(B8*'Base Moves'!$C$7,0)</f>
        <v>18</v>
      </c>
      <c r="E8" s="15" t="n">
        <f aca="false">ROUND(B8*'Base Moves'!$C$9,0)</f>
        <v>26</v>
      </c>
      <c r="F8" s="15" t="n">
        <f aca="false">IF(Monsters!D8="Boss",ROUND(Monsters!M8,0),"-")</f>
        <v>24</v>
      </c>
      <c r="G8" s="15" t="n">
        <f aca="false">IF(Monsters!D8="Boss",ROUND(Monsters!M8*'Base Moves'!$C$7,0),"-")</f>
        <v>36</v>
      </c>
      <c r="H8" s="15" t="n">
        <f aca="false">IF(Monsters!D8="Boss",ROUND(Monsters!M8*'Base Moves'!$C$9,0),"-")</f>
        <v>53</v>
      </c>
    </row>
    <row r="9" customFormat="false" ht="15" hidden="false" customHeight="true" outlineLevel="0" collapsed="false">
      <c r="A9" s="44" t="str">
        <f aca="false">Monsters!A9</f>
        <v>Security Drone</v>
      </c>
      <c r="B9" s="43" t="n">
        <f aca="false">Monsters!F9</f>
        <v>5</v>
      </c>
      <c r="C9" s="8" t="n">
        <f aca="false">ROUND(B9*'Base Moves'!$C$5,0)</f>
        <v>5</v>
      </c>
      <c r="D9" s="8" t="n">
        <f aca="false">ROUND(B9*'Base Moves'!$C$7,0)</f>
        <v>8</v>
      </c>
      <c r="E9" s="8" t="n">
        <f aca="false">ROUND(B9*'Base Moves'!$C$9,0)</f>
        <v>11</v>
      </c>
      <c r="F9" s="8" t="str">
        <f aca="false">IF(Monsters!D9="Boss",ROUND(Monsters!M9,0),"-")</f>
        <v>-</v>
      </c>
      <c r="G9" s="8" t="str">
        <f aca="false">IF(Monsters!D9="Boss",ROUND(Monsters!M9*'Base Moves'!$C$7,0),"-")</f>
        <v>-</v>
      </c>
      <c r="H9" s="8" t="str">
        <f aca="false">IF(Monsters!D9="Boss",ROUND(Monsters!M9*'Base Moves'!$C$9,0),"-")</f>
        <v>-</v>
      </c>
    </row>
    <row r="10" customFormat="false" ht="15" hidden="false" customHeight="true" outlineLevel="0" collapsed="false">
      <c r="A10" s="44" t="str">
        <f aca="false">Monsters!A10</f>
        <v>Maintenance Bot</v>
      </c>
      <c r="B10" s="43" t="n">
        <f aca="false">Monsters!F10</f>
        <v>8</v>
      </c>
      <c r="C10" s="8" t="n">
        <f aca="false">ROUND(B10*'Base Moves'!$C$5,0)</f>
        <v>8</v>
      </c>
      <c r="D10" s="8" t="n">
        <f aca="false">ROUND(B10*'Base Moves'!$C$7,0)</f>
        <v>12</v>
      </c>
      <c r="E10" s="8" t="n">
        <f aca="false">ROUND(B10*'Base Moves'!$C$9,0)</f>
        <v>18</v>
      </c>
      <c r="F10" s="8" t="str">
        <f aca="false">IF(Monsters!D10="Boss",ROUND(Monsters!M10,0),"-")</f>
        <v>-</v>
      </c>
      <c r="G10" s="8" t="str">
        <f aca="false">IF(Monsters!D10="Boss",ROUND(Monsters!M10*'Base Moves'!$C$7,0),"-")</f>
        <v>-</v>
      </c>
      <c r="H10" s="8" t="str">
        <f aca="false">IF(Monsters!D10="Boss",ROUND(Monsters!M10*'Base Moves'!$C$9,0),"-")</f>
        <v>-</v>
      </c>
    </row>
    <row r="11" customFormat="false" ht="15" hidden="false" customHeight="true" outlineLevel="0" collapsed="false">
      <c r="A11" s="44" t="str">
        <f aca="false">Monsters!A11</f>
        <v>Sentry Turret</v>
      </c>
      <c r="B11" s="43" t="n">
        <f aca="false">Monsters!F11</f>
        <v>9</v>
      </c>
      <c r="C11" s="8" t="n">
        <f aca="false">ROUND(B11*'Base Moves'!$C$5,0)</f>
        <v>9</v>
      </c>
      <c r="D11" s="8" t="n">
        <f aca="false">ROUND(B11*'Base Moves'!$C$7,0)</f>
        <v>14</v>
      </c>
      <c r="E11" s="8" t="n">
        <f aca="false">ROUND(B11*'Base Moves'!$C$9,0)</f>
        <v>20</v>
      </c>
      <c r="F11" s="8" t="str">
        <f aca="false">IF(Monsters!D11="Boss",ROUND(Monsters!M11,0),"-")</f>
        <v>-</v>
      </c>
      <c r="G11" s="8" t="str">
        <f aca="false">IF(Monsters!D11="Boss",ROUND(Monsters!M11*'Base Moves'!$C$7,0),"-")</f>
        <v>-</v>
      </c>
      <c r="H11" s="8" t="str">
        <f aca="false">IF(Monsters!D11="Boss",ROUND(Monsters!M11*'Base Moves'!$C$9,0),"-")</f>
        <v>-</v>
      </c>
    </row>
    <row r="12" customFormat="false" ht="15" hidden="false" customHeight="true" outlineLevel="0" collapsed="false">
      <c r="A12" s="45" t="str">
        <f aca="false">Monsters!A12</f>
        <v>Rogue Overseer</v>
      </c>
      <c r="B12" s="46" t="n">
        <f aca="false">Monsters!F12</f>
        <v>10</v>
      </c>
      <c r="C12" s="15" t="n">
        <f aca="false">ROUND(B12*'Base Moves'!$C$5,0)</f>
        <v>10</v>
      </c>
      <c r="D12" s="15" t="n">
        <f aca="false">ROUND(B12*'Base Moves'!$C$7,0)</f>
        <v>15</v>
      </c>
      <c r="E12" s="15" t="n">
        <f aca="false">ROUND(B12*'Base Moves'!$C$9,0)</f>
        <v>22</v>
      </c>
      <c r="F12" s="15" t="n">
        <f aca="false">IF(Monsters!D12="Boss",ROUND(Monsters!M12,0),"-")</f>
        <v>15</v>
      </c>
      <c r="G12" s="15" t="n">
        <f aca="false">IF(Monsters!D12="Boss",ROUND(Monsters!M12*'Base Moves'!$C$7,0),"-")</f>
        <v>23</v>
      </c>
      <c r="H12" s="15" t="n">
        <f aca="false">IF(Monsters!D12="Boss",ROUND(Monsters!M12*'Base Moves'!$C$9,0),"-")</f>
        <v>33</v>
      </c>
    </row>
    <row r="13" customFormat="false" ht="15" hidden="false" customHeight="true" outlineLevel="0" collapsed="false">
      <c r="A13" s="44" t="str">
        <f aca="false">Monsters!A13</f>
        <v>Rift Wisp</v>
      </c>
      <c r="B13" s="43" t="n">
        <f aca="false">Monsters!F13</f>
        <v>18</v>
      </c>
      <c r="C13" s="8" t="n">
        <f aca="false">ROUND(B13*'Base Moves'!$C$5,0)</f>
        <v>18</v>
      </c>
      <c r="D13" s="8" t="n">
        <f aca="false">ROUND(B13*'Base Moves'!$C$7,0)</f>
        <v>27</v>
      </c>
      <c r="E13" s="8" t="n">
        <f aca="false">ROUND(B13*'Base Moves'!$C$9,0)</f>
        <v>40</v>
      </c>
      <c r="F13" s="8" t="str">
        <f aca="false">IF(Monsters!D13="Boss",ROUND(Monsters!M13,0),"-")</f>
        <v>-</v>
      </c>
      <c r="G13" s="8" t="str">
        <f aca="false">IF(Monsters!D13="Boss",ROUND(Monsters!M13*'Base Moves'!$C$7,0),"-")</f>
        <v>-</v>
      </c>
      <c r="H13" s="8" t="str">
        <f aca="false">IF(Monsters!D13="Boss",ROUND(Monsters!M13*'Base Moves'!$C$9,0),"-")</f>
        <v>-</v>
      </c>
    </row>
    <row r="14" customFormat="false" ht="15" hidden="false" customHeight="true" outlineLevel="0" collapsed="false">
      <c r="A14" s="44" t="str">
        <f aca="false">Monsters!A14</f>
        <v>Rift Knight</v>
      </c>
      <c r="B14" s="43" t="n">
        <f aca="false">Monsters!F14</f>
        <v>32</v>
      </c>
      <c r="C14" s="8" t="n">
        <f aca="false">ROUND(B14*'Base Moves'!$C$5,0)</f>
        <v>32</v>
      </c>
      <c r="D14" s="8" t="n">
        <f aca="false">ROUND(B14*'Base Moves'!$C$7,0)</f>
        <v>48</v>
      </c>
      <c r="E14" s="8" t="n">
        <f aca="false">ROUND(B14*'Base Moves'!$C$9,0)</f>
        <v>70</v>
      </c>
      <c r="F14" s="8" t="str">
        <f aca="false">IF(Monsters!D14="Boss",ROUND(Monsters!M14,0),"-")</f>
        <v>-</v>
      </c>
      <c r="G14" s="8" t="str">
        <f aca="false">IF(Monsters!D14="Boss",ROUND(Monsters!M14*'Base Moves'!$C$7,0),"-")</f>
        <v>-</v>
      </c>
      <c r="H14" s="8" t="str">
        <f aca="false">IF(Monsters!D14="Boss",ROUND(Monsters!M14*'Base Moves'!$C$9,0),"-")</f>
        <v>-</v>
      </c>
    </row>
    <row r="15" customFormat="false" ht="15" hidden="false" customHeight="true" outlineLevel="0" collapsed="false">
      <c r="A15" s="44" t="str">
        <f aca="false">Monsters!A15</f>
        <v>Rift Stalker</v>
      </c>
      <c r="B15" s="43" t="n">
        <f aca="false">Monsters!F15</f>
        <v>35</v>
      </c>
      <c r="C15" s="8" t="n">
        <f aca="false">ROUND(B15*'Base Moves'!$C$5,0)</f>
        <v>35</v>
      </c>
      <c r="D15" s="8" t="n">
        <f aca="false">ROUND(B15*'Base Moves'!$C$7,0)</f>
        <v>53</v>
      </c>
      <c r="E15" s="8" t="n">
        <f aca="false">ROUND(B15*'Base Moves'!$C$9,0)</f>
        <v>77</v>
      </c>
      <c r="F15" s="8" t="str">
        <f aca="false">IF(Monsters!D15="Boss",ROUND(Monsters!M15,0),"-")</f>
        <v>-</v>
      </c>
      <c r="G15" s="8" t="str">
        <f aca="false">IF(Monsters!D15="Boss",ROUND(Monsters!M15*'Base Moves'!$C$7,0),"-")</f>
        <v>-</v>
      </c>
      <c r="H15" s="8" t="str">
        <f aca="false">IF(Monsters!D15="Boss",ROUND(Monsters!M15*'Base Moves'!$C$9,0),"-")</f>
        <v>-</v>
      </c>
    </row>
    <row r="16" customFormat="false" ht="15" hidden="false" customHeight="true" outlineLevel="0" collapsed="false">
      <c r="A16" s="45" t="str">
        <f aca="false">Monsters!A16</f>
        <v>Rift Warden</v>
      </c>
      <c r="B16" s="46" t="n">
        <f aca="false">Monsters!F16</f>
        <v>34</v>
      </c>
      <c r="C16" s="15" t="n">
        <f aca="false">ROUND(B16*'Base Moves'!$C$5,0)</f>
        <v>34</v>
      </c>
      <c r="D16" s="15" t="n">
        <f aca="false">ROUND(B16*'Base Moves'!$C$7,0)</f>
        <v>51</v>
      </c>
      <c r="E16" s="15" t="n">
        <f aca="false">ROUND(B16*'Base Moves'!$C$9,0)</f>
        <v>75</v>
      </c>
      <c r="F16" s="15" t="n">
        <f aca="false">IF(Monsters!D16="Boss",ROUND(Monsters!M16,0),"-")</f>
        <v>48</v>
      </c>
      <c r="G16" s="15" t="n">
        <f aca="false">IF(Monsters!D16="Boss",ROUND(Monsters!M16*'Base Moves'!$C$7,0),"-")</f>
        <v>71</v>
      </c>
      <c r="H16" s="15" t="n">
        <f aca="false">IF(Monsters!D16="Boss",ROUND(Monsters!M16*'Base Moves'!$C$9,0),"-")</f>
        <v>105</v>
      </c>
    </row>
    <row r="17" customFormat="false" ht="15" hidden="false" customHeight="true" outlineLevel="0" collapsed="false">
      <c r="A17" s="45" t="str">
        <f aca="false">Monsters!A17</f>
        <v>Hollow Colossus</v>
      </c>
      <c r="B17" s="46" t="n">
        <f aca="false">Monsters!F17</f>
        <v>42</v>
      </c>
      <c r="C17" s="15" t="n">
        <f aca="false">ROUND(B17*'Base Moves'!$C$5,0)</f>
        <v>42</v>
      </c>
      <c r="D17" s="15" t="n">
        <f aca="false">ROUND(B17*'Base Moves'!$C$7,0)</f>
        <v>63</v>
      </c>
      <c r="E17" s="15" t="n">
        <f aca="false">ROUND(B17*'Base Moves'!$C$9,0)</f>
        <v>92</v>
      </c>
      <c r="F17" s="15" t="n">
        <f aca="false">IF(Monsters!D17="Boss",ROUND(Monsters!M17,0),"-")</f>
        <v>63</v>
      </c>
      <c r="G17" s="15" t="n">
        <f aca="false">IF(Monsters!D17="Boss",ROUND(Monsters!M17*'Base Moves'!$C$7,0),"-")</f>
        <v>95</v>
      </c>
      <c r="H17" s="15" t="n">
        <f aca="false">IF(Monsters!D17="Boss",ROUND(Monsters!M17*'Base Moves'!$C$9,0),"-")</f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5.75" hidden="false" customHeight="true" outlineLevel="0" collapsed="false">
      <c r="A1" s="2" t="s">
        <v>353</v>
      </c>
    </row>
    <row r="2" customFormat="false" ht="15" hidden="false" customHeight="true" outlineLevel="0" collapsed="false">
      <c r="A2" s="3" t="s">
        <v>354</v>
      </c>
    </row>
    <row r="4" customFormat="false" ht="15" hidden="false" customHeight="true" outlineLevel="0" collapsed="false">
      <c r="A4" s="34" t="s">
        <v>355</v>
      </c>
      <c r="B4" s="34" t="s">
        <v>257</v>
      </c>
      <c r="C4" s="34" t="s">
        <v>356</v>
      </c>
      <c r="D4" s="34" t="s">
        <v>357</v>
      </c>
      <c r="E4" s="34" t="s">
        <v>358</v>
      </c>
      <c r="F4" s="34" t="s">
        <v>359</v>
      </c>
      <c r="G4" s="34" t="s">
        <v>360</v>
      </c>
    </row>
    <row r="5" customFormat="false" ht="26.25" hidden="false" customHeight="true" outlineLevel="0" collapsed="false">
      <c r="A5" s="26" t="s">
        <v>361</v>
      </c>
      <c r="B5" s="26" t="s">
        <v>362</v>
      </c>
      <c r="C5" s="26" t="s">
        <v>363</v>
      </c>
      <c r="D5" s="26" t="s">
        <v>364</v>
      </c>
      <c r="E5" s="26" t="s">
        <v>365</v>
      </c>
      <c r="F5" s="26" t="s">
        <v>366</v>
      </c>
      <c r="G5" s="26" t="s">
        <v>367</v>
      </c>
    </row>
    <row r="6" customFormat="false" ht="26.25" hidden="false" customHeight="true" outlineLevel="0" collapsed="false">
      <c r="A6" s="26" t="s">
        <v>361</v>
      </c>
      <c r="B6" s="26" t="s">
        <v>69</v>
      </c>
      <c r="C6" s="26" t="s">
        <v>368</v>
      </c>
      <c r="D6" s="26" t="s">
        <v>369</v>
      </c>
      <c r="E6" s="26" t="s">
        <v>370</v>
      </c>
      <c r="F6" s="26" t="s">
        <v>371</v>
      </c>
      <c r="G6" s="26" t="s">
        <v>372</v>
      </c>
    </row>
    <row r="7" customFormat="false" ht="26.25" hidden="false" customHeight="true" outlineLevel="0" collapsed="false">
      <c r="A7" s="26" t="s">
        <v>373</v>
      </c>
      <c r="B7" s="26" t="s">
        <v>374</v>
      </c>
      <c r="C7" s="26" t="s">
        <v>375</v>
      </c>
      <c r="D7" s="26" t="s">
        <v>21</v>
      </c>
      <c r="E7" s="26" t="s">
        <v>376</v>
      </c>
      <c r="F7" s="26" t="s">
        <v>377</v>
      </c>
      <c r="G7" s="26" t="s">
        <v>367</v>
      </c>
    </row>
    <row r="8" customFormat="false" ht="26.25" hidden="false" customHeight="true" outlineLevel="0" collapsed="false">
      <c r="A8" s="26" t="s">
        <v>373</v>
      </c>
      <c r="B8" s="26" t="s">
        <v>69</v>
      </c>
      <c r="C8" s="26" t="s">
        <v>378</v>
      </c>
      <c r="D8" s="26" t="s">
        <v>21</v>
      </c>
      <c r="E8" s="26" t="s">
        <v>379</v>
      </c>
      <c r="F8" s="26" t="s">
        <v>380</v>
      </c>
      <c r="G8" s="26" t="s">
        <v>367</v>
      </c>
    </row>
    <row r="9" customFormat="false" ht="26.25" hidden="false" customHeight="true" outlineLevel="0" collapsed="false">
      <c r="A9" s="26" t="s">
        <v>373</v>
      </c>
      <c r="B9" s="26" t="s">
        <v>244</v>
      </c>
      <c r="C9" s="26" t="s">
        <v>381</v>
      </c>
      <c r="D9" s="26" t="s">
        <v>21</v>
      </c>
      <c r="E9" s="26" t="s">
        <v>382</v>
      </c>
      <c r="F9" s="26" t="s">
        <v>383</v>
      </c>
      <c r="G9" s="26" t="s">
        <v>367</v>
      </c>
    </row>
    <row r="10" customFormat="false" ht="26.25" hidden="false" customHeight="true" outlineLevel="0" collapsed="false">
      <c r="A10" s="26" t="s">
        <v>384</v>
      </c>
      <c r="B10" s="26" t="s">
        <v>244</v>
      </c>
      <c r="C10" s="26" t="s">
        <v>385</v>
      </c>
      <c r="D10" s="26" t="s">
        <v>386</v>
      </c>
      <c r="E10" s="26" t="s">
        <v>387</v>
      </c>
      <c r="F10" s="26" t="s">
        <v>388</v>
      </c>
      <c r="G10" s="26" t="s">
        <v>389</v>
      </c>
    </row>
    <row r="11" customFormat="false" ht="26.25" hidden="false" customHeight="true" outlineLevel="0" collapsed="false">
      <c r="A11" s="26" t="s">
        <v>384</v>
      </c>
      <c r="B11" s="26" t="s">
        <v>244</v>
      </c>
      <c r="C11" s="26" t="s">
        <v>390</v>
      </c>
      <c r="D11" s="26" t="s">
        <v>391</v>
      </c>
      <c r="E11" s="26" t="s">
        <v>392</v>
      </c>
      <c r="F11" s="26" t="s">
        <v>393</v>
      </c>
      <c r="G11" s="26" t="s">
        <v>389</v>
      </c>
    </row>
    <row r="12" customFormat="false" ht="26.25" hidden="false" customHeight="true" outlineLevel="0" collapsed="false">
      <c r="A12" s="26" t="s">
        <v>384</v>
      </c>
      <c r="B12" s="26" t="s">
        <v>244</v>
      </c>
      <c r="C12" s="26" t="s">
        <v>394</v>
      </c>
      <c r="D12" s="26" t="s">
        <v>395</v>
      </c>
      <c r="E12" s="26" t="s">
        <v>396</v>
      </c>
      <c r="F12" s="26" t="s">
        <v>397</v>
      </c>
      <c r="G12" s="26" t="s">
        <v>389</v>
      </c>
    </row>
    <row r="13" customFormat="false" ht="26.25" hidden="false" customHeight="true" outlineLevel="0" collapsed="false">
      <c r="A13" s="26" t="s">
        <v>384</v>
      </c>
      <c r="B13" s="26" t="s">
        <v>374</v>
      </c>
      <c r="C13" s="26" t="s">
        <v>375</v>
      </c>
      <c r="D13" s="26" t="s">
        <v>376</v>
      </c>
      <c r="E13" s="26" t="s">
        <v>398</v>
      </c>
      <c r="F13" s="26" t="s">
        <v>399</v>
      </c>
      <c r="G13" s="26" t="s">
        <v>389</v>
      </c>
    </row>
    <row r="14" customFormat="false" ht="26.25" hidden="false" customHeight="true" outlineLevel="0" collapsed="false">
      <c r="A14" s="26" t="s">
        <v>384</v>
      </c>
      <c r="B14" s="26" t="s">
        <v>400</v>
      </c>
      <c r="C14" s="26" t="s">
        <v>401</v>
      </c>
      <c r="D14" s="26" t="s">
        <v>402</v>
      </c>
      <c r="E14" s="26" t="s">
        <v>403</v>
      </c>
      <c r="F14" s="26" t="s">
        <v>404</v>
      </c>
      <c r="G14" s="26" t="s">
        <v>389</v>
      </c>
    </row>
    <row r="15" customFormat="false" ht="26.25" hidden="false" customHeight="true" outlineLevel="0" collapsed="false">
      <c r="A15" s="26" t="s">
        <v>384</v>
      </c>
      <c r="B15" s="26" t="s">
        <v>69</v>
      </c>
      <c r="C15" s="26" t="s">
        <v>405</v>
      </c>
      <c r="D15" s="26" t="s">
        <v>406</v>
      </c>
      <c r="E15" s="26" t="s">
        <v>407</v>
      </c>
      <c r="F15" s="26" t="s">
        <v>408</v>
      </c>
      <c r="G15" s="26" t="s">
        <v>389</v>
      </c>
    </row>
    <row r="16" customFormat="false" ht="26.25" hidden="false" customHeight="true" outlineLevel="0" collapsed="false">
      <c r="A16" s="26" t="s">
        <v>384</v>
      </c>
      <c r="B16" s="26" t="s">
        <v>244</v>
      </c>
      <c r="C16" s="26" t="s">
        <v>409</v>
      </c>
      <c r="D16" s="26" t="s">
        <v>410</v>
      </c>
      <c r="E16" s="26" t="s">
        <v>411</v>
      </c>
      <c r="F16" s="26" t="s">
        <v>412</v>
      </c>
      <c r="G16" s="26" t="s">
        <v>413</v>
      </c>
    </row>
    <row r="17" customFormat="false" ht="26.25" hidden="false" customHeight="true" outlineLevel="0" collapsed="false">
      <c r="A17" s="26" t="s">
        <v>384</v>
      </c>
      <c r="B17" s="26" t="s">
        <v>362</v>
      </c>
      <c r="C17" s="26" t="s">
        <v>414</v>
      </c>
      <c r="D17" s="26" t="s">
        <v>415</v>
      </c>
      <c r="E17" s="26" t="s">
        <v>416</v>
      </c>
      <c r="F17" s="26" t="s">
        <v>417</v>
      </c>
      <c r="G17" s="26" t="s">
        <v>389</v>
      </c>
    </row>
    <row r="18" customFormat="false" ht="26.25" hidden="false" customHeight="true" outlineLevel="0" collapsed="false">
      <c r="A18" s="26" t="s">
        <v>384</v>
      </c>
      <c r="B18" s="26" t="s">
        <v>362</v>
      </c>
      <c r="C18" s="26" t="s">
        <v>418</v>
      </c>
      <c r="D18" s="26" t="s">
        <v>419</v>
      </c>
      <c r="E18" s="26" t="s">
        <v>420</v>
      </c>
      <c r="F18" s="26" t="s">
        <v>421</v>
      </c>
      <c r="G18" s="26" t="s">
        <v>422</v>
      </c>
    </row>
    <row r="19" customFormat="false" ht="26.25" hidden="false" customHeight="true" outlineLevel="0" collapsed="false">
      <c r="A19" s="26" t="s">
        <v>384</v>
      </c>
      <c r="B19" s="26" t="s">
        <v>244</v>
      </c>
      <c r="C19" s="26" t="s">
        <v>423</v>
      </c>
      <c r="D19" s="26" t="s">
        <v>424</v>
      </c>
      <c r="E19" s="26" t="s">
        <v>425</v>
      </c>
      <c r="F19" s="26" t="s">
        <v>426</v>
      </c>
      <c r="G19" s="26" t="s">
        <v>427</v>
      </c>
    </row>
    <row r="20" customFormat="false" ht="26.25" hidden="false" customHeight="true" outlineLevel="0" collapsed="false">
      <c r="A20" s="26" t="s">
        <v>384</v>
      </c>
      <c r="B20" s="26" t="s">
        <v>244</v>
      </c>
      <c r="C20" s="26" t="s">
        <v>428</v>
      </c>
      <c r="D20" s="26" t="s">
        <v>429</v>
      </c>
      <c r="E20" s="26" t="s">
        <v>430</v>
      </c>
      <c r="F20" s="26" t="s">
        <v>431</v>
      </c>
      <c r="G20" s="26" t="s">
        <v>389</v>
      </c>
    </row>
    <row r="21" customFormat="false" ht="26.25" hidden="false" customHeight="true" outlineLevel="0" collapsed="false">
      <c r="A21" s="26" t="s">
        <v>384</v>
      </c>
      <c r="B21" s="26" t="s">
        <v>244</v>
      </c>
      <c r="C21" s="26" t="s">
        <v>432</v>
      </c>
      <c r="D21" s="26" t="s">
        <v>433</v>
      </c>
      <c r="E21" s="26" t="s">
        <v>434</v>
      </c>
      <c r="F21" s="26" t="s">
        <v>435</v>
      </c>
      <c r="G21" s="26" t="s">
        <v>389</v>
      </c>
    </row>
    <row r="22" customFormat="false" ht="26.25" hidden="false" customHeight="true" outlineLevel="0" collapsed="false">
      <c r="A22" s="26" t="s">
        <v>384</v>
      </c>
      <c r="B22" s="26" t="s">
        <v>183</v>
      </c>
      <c r="C22" s="26" t="s">
        <v>436</v>
      </c>
      <c r="D22" s="26" t="s">
        <v>21</v>
      </c>
      <c r="E22" s="26" t="s">
        <v>437</v>
      </c>
      <c r="F22" s="26" t="s">
        <v>438</v>
      </c>
      <c r="G22" s="26" t="s">
        <v>389</v>
      </c>
    </row>
    <row r="23" customFormat="false" ht="26.25" hidden="false" customHeight="true" outlineLevel="0" collapsed="false">
      <c r="A23" s="26" t="s">
        <v>384</v>
      </c>
      <c r="B23" s="26" t="s">
        <v>69</v>
      </c>
      <c r="C23" s="26" t="s">
        <v>439</v>
      </c>
      <c r="D23" s="26" t="s">
        <v>440</v>
      </c>
      <c r="E23" s="26" t="s">
        <v>195</v>
      </c>
      <c r="F23" s="26" t="s">
        <v>441</v>
      </c>
      <c r="G23" s="26" t="s">
        <v>367</v>
      </c>
    </row>
    <row r="24" customFormat="false" ht="39" hidden="false" customHeight="true" outlineLevel="0" collapsed="false">
      <c r="A24" s="26" t="s">
        <v>384</v>
      </c>
      <c r="B24" s="26" t="s">
        <v>69</v>
      </c>
      <c r="C24" s="26" t="s">
        <v>442</v>
      </c>
      <c r="D24" s="26" t="s">
        <v>21</v>
      </c>
      <c r="E24" s="26" t="s">
        <v>443</v>
      </c>
      <c r="F24" s="26" t="s">
        <v>444</v>
      </c>
      <c r="G24" s="26" t="s">
        <v>367</v>
      </c>
    </row>
    <row r="25" customFormat="false" ht="26.25" hidden="false" customHeight="true" outlineLevel="0" collapsed="false">
      <c r="A25" s="26" t="s">
        <v>384</v>
      </c>
      <c r="B25" s="26" t="s">
        <v>69</v>
      </c>
      <c r="C25" s="26" t="s">
        <v>445</v>
      </c>
      <c r="D25" s="26" t="s">
        <v>429</v>
      </c>
      <c r="E25" s="26" t="s">
        <v>446</v>
      </c>
      <c r="F25" s="26" t="s">
        <v>447</v>
      </c>
      <c r="G25" s="26" t="s">
        <v>389</v>
      </c>
    </row>
    <row r="26" customFormat="false" ht="26.25" hidden="false" customHeight="true" outlineLevel="0" collapsed="false">
      <c r="A26" s="26" t="s">
        <v>384</v>
      </c>
      <c r="B26" s="26" t="s">
        <v>69</v>
      </c>
      <c r="C26" s="26" t="s">
        <v>448</v>
      </c>
      <c r="D26" s="26" t="s">
        <v>449</v>
      </c>
      <c r="E26" s="26" t="s">
        <v>450</v>
      </c>
      <c r="F26" s="26" t="s">
        <v>451</v>
      </c>
      <c r="G26" s="26" t="s">
        <v>389</v>
      </c>
    </row>
    <row r="27" customFormat="false" ht="26.25" hidden="false" customHeight="true" outlineLevel="0" collapsed="false">
      <c r="A27" s="26" t="s">
        <v>384</v>
      </c>
      <c r="B27" s="26" t="s">
        <v>246</v>
      </c>
      <c r="C27" s="26" t="s">
        <v>452</v>
      </c>
      <c r="D27" s="26" t="s">
        <v>21</v>
      </c>
      <c r="E27" s="26" t="s">
        <v>453</v>
      </c>
      <c r="F27" s="26" t="s">
        <v>454</v>
      </c>
      <c r="G27" s="26" t="s">
        <v>389</v>
      </c>
    </row>
    <row r="28" customFormat="false" ht="26.25" hidden="false" customHeight="true" outlineLevel="0" collapsed="false">
      <c r="A28" s="26" t="s">
        <v>384</v>
      </c>
      <c r="B28" s="26" t="s">
        <v>455</v>
      </c>
      <c r="C28" s="26" t="s">
        <v>456</v>
      </c>
      <c r="D28" s="26" t="s">
        <v>21</v>
      </c>
      <c r="E28" s="26" t="s">
        <v>457</v>
      </c>
      <c r="F28" s="26" t="s">
        <v>458</v>
      </c>
      <c r="G28" s="26" t="s">
        <v>367</v>
      </c>
    </row>
    <row r="29" customFormat="false" ht="26.25" hidden="false" customHeight="true" outlineLevel="0" collapsed="false">
      <c r="A29" s="26" t="s">
        <v>384</v>
      </c>
      <c r="B29" s="26" t="s">
        <v>459</v>
      </c>
      <c r="C29" s="26" t="s">
        <v>460</v>
      </c>
      <c r="D29" s="26" t="s">
        <v>21</v>
      </c>
      <c r="E29" s="26" t="s">
        <v>461</v>
      </c>
      <c r="F29" s="26" t="s">
        <v>462</v>
      </c>
      <c r="G29" s="26" t="s">
        <v>367</v>
      </c>
    </row>
    <row r="30" customFormat="false" ht="26.25" hidden="false" customHeight="true" outlineLevel="0" collapsed="false">
      <c r="A30" s="26" t="s">
        <v>463</v>
      </c>
      <c r="B30" s="26" t="s">
        <v>244</v>
      </c>
      <c r="C30" s="26" t="s">
        <v>464</v>
      </c>
      <c r="D30" s="26" t="s">
        <v>465</v>
      </c>
      <c r="E30" s="26" t="s">
        <v>466</v>
      </c>
      <c r="F30" s="26" t="s">
        <v>467</v>
      </c>
      <c r="G30" s="26" t="s">
        <v>389</v>
      </c>
    </row>
  </sheetData>
  <autoFilter ref="A4:G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2026-10-01T10:58:13Z</dcterms:created>
  <dc:creator>openpyxl</dc:creator>
  <dc:description/>
  <dc:language>en-US</dc:language>
  <cp:lastModifiedBy/>
  <dcterms:modified xsi:type="dcterms:W3CDTF">2026-10-01T15:08:18Z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